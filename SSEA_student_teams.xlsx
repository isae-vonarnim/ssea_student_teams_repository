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.von-arnim\Documents\gitlab\m-vonarnim\ssea\"/>
    </mc:Choice>
  </mc:AlternateContent>
  <xr:revisionPtr revIDLastSave="0" documentId="13_ncr:1_{C10F12AE-F95F-4F35-8784-C5874CDA5772}" xr6:coauthVersionLast="47" xr6:coauthVersionMax="47" xr10:uidLastSave="{00000000-0000-0000-0000-000000000000}"/>
  <bookViews>
    <workbookView xWindow="-108" yWindow="-108" windowWidth="23256" windowHeight="12576" xr2:uid="{7ED79F6E-3E07-4FE4-A152-12F8912DB878}"/>
  </bookViews>
  <sheets>
    <sheet name="SSEA_student_teams" sheetId="1" r:id="rId1"/>
  </sheets>
  <definedNames>
    <definedName name="_xlnm._FilterDatabase" localSheetId="0" hidden="1">SSEA_student_teams!$A$1:$DS$239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7" i="1" l="1" a="1"/>
  <c r="BE17" i="1"/>
  <c r="BE18" i="1" a="1"/>
  <c r="BE18" i="1"/>
  <c r="BE19" i="1" a="1"/>
  <c r="BE19" i="1"/>
  <c r="BE20" i="1" a="1"/>
  <c r="BE20" i="1" s="1"/>
  <c r="BE21" i="1" a="1"/>
  <c r="BE21" i="1"/>
  <c r="BE22" i="1" a="1"/>
  <c r="BE22" i="1"/>
  <c r="BE23" i="1" a="1"/>
  <c r="BE23" i="1" s="1"/>
  <c r="BE24" i="1" a="1"/>
  <c r="BE24" i="1"/>
  <c r="BE25" i="1" a="1"/>
  <c r="BE25" i="1"/>
  <c r="BE26" i="1" a="1"/>
  <c r="BE26" i="1"/>
  <c r="BE27" i="1" a="1"/>
  <c r="BE27" i="1"/>
  <c r="BE28" i="1" a="1"/>
  <c r="BE28" i="1"/>
  <c r="BE29" i="1" a="1"/>
  <c r="BE29" i="1"/>
  <c r="BE30" i="1" a="1"/>
  <c r="BE30" i="1"/>
  <c r="BE31" i="1" a="1"/>
  <c r="BE31" i="1" s="1"/>
  <c r="BE32" i="1" a="1"/>
  <c r="BE32" i="1"/>
  <c r="BE33" i="1" a="1"/>
  <c r="BE33" i="1"/>
  <c r="BE34" i="1" a="1"/>
  <c r="BE34" i="1"/>
  <c r="BE35" i="1" a="1"/>
  <c r="BE35" i="1"/>
  <c r="BE36" i="1" a="1"/>
  <c r="BE36" i="1"/>
  <c r="BE37" i="1" a="1"/>
  <c r="BE37" i="1"/>
  <c r="BE38" i="1" a="1"/>
  <c r="BE38" i="1"/>
  <c r="BE39" i="1" a="1"/>
  <c r="BE39" i="1" s="1"/>
  <c r="BE40" i="1" a="1"/>
  <c r="BE40" i="1"/>
  <c r="BE41" i="1" a="1"/>
  <c r="BE41" i="1"/>
  <c r="BE42" i="1" a="1"/>
  <c r="BE42" i="1" s="1"/>
  <c r="BE43" i="1" a="1"/>
  <c r="BE43" i="1"/>
  <c r="BE44" i="1" a="1"/>
  <c r="BE44" i="1" s="1"/>
  <c r="BE45" i="1" a="1"/>
  <c r="BE45" i="1"/>
  <c r="BE46" i="1" a="1"/>
  <c r="BE46" i="1"/>
  <c r="BE47" i="1" a="1"/>
  <c r="BE47" i="1" s="1"/>
  <c r="BE48" i="1" a="1"/>
  <c r="BE48" i="1"/>
  <c r="BE49" i="1" a="1"/>
  <c r="BE49" i="1"/>
  <c r="BE50" i="1" a="1"/>
  <c r="BE50" i="1"/>
  <c r="BE51" i="1" a="1"/>
  <c r="BE51" i="1"/>
  <c r="BE52" i="1" a="1"/>
  <c r="BE52" i="1" s="1"/>
  <c r="BE53" i="1" a="1"/>
  <c r="BE53" i="1"/>
  <c r="BE54" i="1" a="1"/>
  <c r="BE54" i="1"/>
  <c r="BE55" i="1" a="1"/>
  <c r="BE55" i="1" s="1"/>
  <c r="BE56" i="1" a="1"/>
  <c r="BE56" i="1"/>
  <c r="BE57" i="1" a="1"/>
  <c r="BE57" i="1"/>
  <c r="BE58" i="1" a="1"/>
  <c r="BE58" i="1"/>
  <c r="BE59" i="1" a="1"/>
  <c r="BE59" i="1"/>
  <c r="BE60" i="1" a="1"/>
  <c r="BE60" i="1" s="1"/>
  <c r="BE61" i="1" a="1"/>
  <c r="BE61" i="1"/>
  <c r="BE62" i="1" a="1"/>
  <c r="BE62" i="1"/>
  <c r="BE63" i="1" a="1"/>
  <c r="BE63" i="1" s="1"/>
  <c r="BE64" i="1" a="1"/>
  <c r="BE64" i="1"/>
  <c r="BE65" i="1" a="1"/>
  <c r="BE65" i="1"/>
  <c r="BE66" i="1" a="1"/>
  <c r="BE66" i="1"/>
  <c r="BE67" i="1" a="1"/>
  <c r="BE67" i="1"/>
  <c r="BE68" i="1" a="1"/>
  <c r="BE68" i="1" s="1"/>
  <c r="BE69" i="1" a="1"/>
  <c r="BE69" i="1"/>
  <c r="BE70" i="1" a="1"/>
  <c r="BE70" i="1"/>
  <c r="BE71" i="1" a="1"/>
  <c r="BE71" i="1" s="1"/>
  <c r="BE72" i="1" a="1"/>
  <c r="BE72" i="1"/>
  <c r="BE73" i="1" a="1"/>
  <c r="BE73" i="1"/>
  <c r="BE74" i="1" a="1"/>
  <c r="BE74" i="1"/>
  <c r="BE75" i="1" a="1"/>
  <c r="BE75" i="1"/>
  <c r="BE76" i="1" a="1"/>
  <c r="BE76" i="1" s="1"/>
  <c r="BE77" i="1" a="1"/>
  <c r="BE77" i="1"/>
  <c r="BE78" i="1" a="1"/>
  <c r="BE78" i="1"/>
  <c r="BE79" i="1" a="1"/>
  <c r="BE79" i="1" s="1"/>
  <c r="BE80" i="1" a="1"/>
  <c r="BE80" i="1"/>
  <c r="BE81" i="1" a="1"/>
  <c r="BE81" i="1"/>
  <c r="BE82" i="1" a="1"/>
  <c r="BE82" i="1"/>
  <c r="BE83" i="1" a="1"/>
  <c r="BE83" i="1"/>
  <c r="BE84" i="1" a="1"/>
  <c r="BE84" i="1" s="1"/>
  <c r="BE85" i="1" a="1"/>
  <c r="BE85" i="1"/>
  <c r="BE86" i="1" a="1"/>
  <c r="BE86" i="1"/>
  <c r="BE87" i="1" a="1"/>
  <c r="BE87" i="1" s="1"/>
  <c r="BE88" i="1" a="1"/>
  <c r="BE88" i="1"/>
  <c r="BE89" i="1" a="1"/>
  <c r="BE89" i="1"/>
  <c r="BE90" i="1" a="1"/>
  <c r="BE90" i="1"/>
  <c r="BE91" i="1" a="1"/>
  <c r="BE91" i="1"/>
  <c r="BE92" i="1" a="1"/>
  <c r="BE92" i="1" s="1"/>
  <c r="BE93" i="1" a="1"/>
  <c r="BE93" i="1"/>
  <c r="BE94" i="1" a="1"/>
  <c r="BE94" i="1"/>
  <c r="BE95" i="1" a="1"/>
  <c r="BE95" i="1" s="1"/>
  <c r="BE96" i="1" a="1"/>
  <c r="BE96" i="1"/>
  <c r="BE97" i="1" a="1"/>
  <c r="BE97" i="1"/>
  <c r="BE98" i="1" a="1"/>
  <c r="BE98" i="1"/>
  <c r="BE99" i="1" a="1"/>
  <c r="BE99" i="1"/>
  <c r="BE100" i="1" a="1"/>
  <c r="BE100" i="1" s="1"/>
  <c r="BE101" i="1" a="1"/>
  <c r="BE101" i="1"/>
  <c r="BE102" i="1" a="1"/>
  <c r="BE102" i="1"/>
  <c r="BE103" i="1" a="1"/>
  <c r="BE103" i="1" s="1"/>
  <c r="BE104" i="1" a="1"/>
  <c r="BE104" i="1"/>
  <c r="BE105" i="1" a="1"/>
  <c r="BE105" i="1"/>
  <c r="BE106" i="1" a="1"/>
  <c r="BE106" i="1"/>
  <c r="BE107" i="1" a="1"/>
  <c r="BE107" i="1"/>
  <c r="BE108" i="1" a="1"/>
  <c r="BE108" i="1" s="1"/>
  <c r="BE109" i="1" a="1"/>
  <c r="BE109" i="1"/>
  <c r="BE110" i="1" a="1"/>
  <c r="BE110" i="1"/>
  <c r="BE111" i="1" a="1"/>
  <c r="BE111" i="1" s="1"/>
  <c r="BE112" i="1" a="1"/>
  <c r="BE112" i="1"/>
  <c r="BE113" i="1" a="1"/>
  <c r="BE113" i="1"/>
  <c r="BE114" i="1" a="1"/>
  <c r="BE114" i="1"/>
  <c r="BE115" i="1" a="1"/>
  <c r="BE115" i="1"/>
  <c r="BE116" i="1" a="1"/>
  <c r="BE116" i="1" s="1"/>
  <c r="BE117" i="1" a="1"/>
  <c r="BE117" i="1"/>
  <c r="BE118" i="1" a="1"/>
  <c r="BE118" i="1"/>
  <c r="BE119" i="1" a="1"/>
  <c r="BE119" i="1" s="1"/>
  <c r="BE120" i="1" a="1"/>
  <c r="BE120" i="1"/>
  <c r="BE121" i="1" a="1"/>
  <c r="BE121" i="1"/>
  <c r="BE122" i="1" a="1"/>
  <c r="BE122" i="1"/>
  <c r="BE123" i="1" a="1"/>
  <c r="BE123" i="1"/>
  <c r="BE124" i="1" a="1"/>
  <c r="BE124" i="1" s="1"/>
  <c r="BE125" i="1" a="1"/>
  <c r="BE125" i="1"/>
  <c r="BE126" i="1" a="1"/>
  <c r="BE126" i="1"/>
  <c r="BE127" i="1" a="1"/>
  <c r="BE127" i="1" s="1"/>
  <c r="BE128" i="1" a="1"/>
  <c r="BE128" i="1"/>
  <c r="BE129" i="1" a="1"/>
  <c r="BE129" i="1"/>
  <c r="BE130" i="1" a="1"/>
  <c r="BE130" i="1"/>
  <c r="BE131" i="1" a="1"/>
  <c r="BE131" i="1"/>
  <c r="BE132" i="1" a="1"/>
  <c r="BE132" i="1" s="1"/>
  <c r="BE133" i="1" a="1"/>
  <c r="BE133" i="1"/>
  <c r="BE134" i="1" a="1"/>
  <c r="BE134" i="1"/>
  <c r="BE135" i="1" a="1"/>
  <c r="BE135" i="1" s="1"/>
  <c r="BE136" i="1" a="1"/>
  <c r="BE136" i="1"/>
  <c r="BE137" i="1" a="1"/>
  <c r="BE137" i="1"/>
  <c r="BE138" i="1" a="1"/>
  <c r="BE138" i="1"/>
  <c r="BE139" i="1" a="1"/>
  <c r="BE139" i="1"/>
  <c r="BE140" i="1" a="1"/>
  <c r="BE140" i="1" s="1"/>
  <c r="BE141" i="1" a="1"/>
  <c r="BE141" i="1"/>
  <c r="BE142" i="1" a="1"/>
  <c r="BE142" i="1"/>
  <c r="BE143" i="1" a="1"/>
  <c r="BE143" i="1" s="1"/>
  <c r="BE144" i="1" a="1"/>
  <c r="BE144" i="1"/>
  <c r="BE145" i="1" a="1"/>
  <c r="BE145" i="1"/>
  <c r="BE146" i="1" a="1"/>
  <c r="BE146" i="1"/>
  <c r="BE147" i="1" a="1"/>
  <c r="BE147" i="1"/>
  <c r="BE148" i="1" a="1"/>
  <c r="BE148" i="1" s="1"/>
  <c r="BE149" i="1" a="1"/>
  <c r="BE149" i="1"/>
  <c r="BE150" i="1" a="1"/>
  <c r="BE150" i="1"/>
  <c r="BE151" i="1" a="1"/>
  <c r="BE151" i="1" s="1"/>
  <c r="BE152" i="1" a="1"/>
  <c r="BE152" i="1"/>
  <c r="BE153" i="1" a="1"/>
  <c r="BE153" i="1"/>
  <c r="BE154" i="1" a="1"/>
  <c r="BE154" i="1"/>
  <c r="BE155" i="1" a="1"/>
  <c r="BE155" i="1"/>
  <c r="BE156" i="1" a="1"/>
  <c r="BE156" i="1" s="1"/>
  <c r="BE157" i="1" a="1"/>
  <c r="BE157" i="1"/>
  <c r="BE158" i="1" a="1"/>
  <c r="BE158" i="1"/>
  <c r="BE159" i="1" a="1"/>
  <c r="BE159" i="1" s="1"/>
  <c r="BE160" i="1" a="1"/>
  <c r="BE160" i="1"/>
  <c r="BE161" i="1" a="1"/>
  <c r="BE161" i="1"/>
  <c r="BE162" i="1" a="1"/>
  <c r="BE162" i="1"/>
  <c r="BE163" i="1" a="1"/>
  <c r="BE163" i="1"/>
  <c r="BE164" i="1" a="1"/>
  <c r="BE164" i="1" s="1"/>
  <c r="BE165" i="1" a="1"/>
  <c r="BE165" i="1"/>
  <c r="BE166" i="1" a="1"/>
  <c r="BE166" i="1"/>
  <c r="BE167" i="1" a="1"/>
  <c r="BE167" i="1" s="1"/>
  <c r="BE168" i="1" a="1"/>
  <c r="BE168" i="1"/>
  <c r="BE169" i="1" a="1"/>
  <c r="BE169" i="1"/>
  <c r="BE170" i="1" a="1"/>
  <c r="BE170" i="1"/>
  <c r="BE171" i="1" a="1"/>
  <c r="BE171" i="1"/>
  <c r="BE172" i="1" a="1"/>
  <c r="BE172" i="1" s="1"/>
  <c r="BE173" i="1" a="1"/>
  <c r="BE173" i="1"/>
  <c r="BE174" i="1" a="1"/>
  <c r="BE174" i="1"/>
  <c r="BE175" i="1" a="1"/>
  <c r="BE175" i="1" s="1"/>
  <c r="BE176" i="1" a="1"/>
  <c r="BE176" i="1"/>
  <c r="BE177" i="1" a="1"/>
  <c r="BE177" i="1"/>
  <c r="BE178" i="1" a="1"/>
  <c r="BE178" i="1"/>
  <c r="BE179" i="1" a="1"/>
  <c r="BE179" i="1"/>
  <c r="BE180" i="1" a="1"/>
  <c r="BE180" i="1" s="1"/>
  <c r="BE181" i="1" a="1"/>
  <c r="BE181" i="1"/>
  <c r="BE182" i="1" a="1"/>
  <c r="BE182" i="1"/>
  <c r="BE183" i="1" a="1"/>
  <c r="BE183" i="1" s="1"/>
  <c r="BE184" i="1" a="1"/>
  <c r="BE184" i="1"/>
  <c r="BE185" i="1" a="1"/>
  <c r="BE185" i="1"/>
  <c r="BE186" i="1" a="1"/>
  <c r="BE186" i="1"/>
  <c r="BE187" i="1" a="1"/>
  <c r="BE187" i="1"/>
  <c r="BE188" i="1" a="1"/>
  <c r="BE188" i="1" s="1"/>
  <c r="BE189" i="1" a="1"/>
  <c r="BE189" i="1"/>
  <c r="BE190" i="1" a="1"/>
  <c r="BE190" i="1"/>
  <c r="BE191" i="1" a="1"/>
  <c r="BE191" i="1" s="1"/>
  <c r="BE192" i="1" a="1"/>
  <c r="BE192" i="1"/>
  <c r="BE193" i="1" a="1"/>
  <c r="BE193" i="1"/>
  <c r="BE194" i="1" a="1"/>
  <c r="BE194" i="1" s="1"/>
  <c r="BE195" i="1" a="1"/>
  <c r="BE195" i="1"/>
  <c r="BE196" i="1" a="1"/>
  <c r="BE196" i="1" s="1"/>
  <c r="BE197" i="1" a="1"/>
  <c r="BE197" i="1"/>
  <c r="BE198" i="1" a="1"/>
  <c r="BE198" i="1"/>
  <c r="BE199" i="1" a="1"/>
  <c r="BE199" i="1" s="1"/>
  <c r="BE200" i="1" a="1"/>
  <c r="BE200" i="1"/>
  <c r="BE201" i="1" a="1"/>
  <c r="BE201" i="1"/>
  <c r="BE202" i="1" a="1"/>
  <c r="BE202" i="1" s="1"/>
  <c r="BE203" i="1" a="1"/>
  <c r="BE203" i="1"/>
  <c r="BE204" i="1" a="1"/>
  <c r="BE204" i="1" s="1"/>
  <c r="BE205" i="1" a="1"/>
  <c r="BE205" i="1"/>
  <c r="BE206" i="1" a="1"/>
  <c r="BE206" i="1"/>
  <c r="BE207" i="1" a="1"/>
  <c r="BE207" i="1" s="1"/>
  <c r="BE208" i="1" a="1"/>
  <c r="BE208" i="1"/>
  <c r="BE209" i="1" a="1"/>
  <c r="BE209" i="1"/>
  <c r="BE210" i="1" a="1"/>
  <c r="BE210" i="1" s="1"/>
  <c r="BE211" i="1" a="1"/>
  <c r="BE211" i="1"/>
  <c r="BE212" i="1" a="1"/>
  <c r="BE212" i="1" s="1"/>
  <c r="BE213" i="1" a="1"/>
  <c r="BE213" i="1"/>
  <c r="BE214" i="1" a="1"/>
  <c r="BE214" i="1"/>
  <c r="BE215" i="1" a="1"/>
  <c r="BE215" i="1" s="1"/>
  <c r="BE216" i="1" a="1"/>
  <c r="BE216" i="1"/>
  <c r="BE217" i="1" a="1"/>
  <c r="BE217" i="1"/>
  <c r="BE218" i="1" a="1"/>
  <c r="BE218" i="1" s="1"/>
  <c r="BE219" i="1" a="1"/>
  <c r="BE219" i="1"/>
  <c r="BE220" i="1" a="1"/>
  <c r="BE220" i="1" s="1"/>
  <c r="BE221" i="1" a="1"/>
  <c r="BE221" i="1"/>
  <c r="BE222" i="1" a="1"/>
  <c r="BE222" i="1"/>
  <c r="BE223" i="1" a="1"/>
  <c r="BE223" i="1" s="1"/>
  <c r="BE224" i="1" a="1"/>
  <c r="BE224" i="1"/>
  <c r="BE225" i="1" a="1"/>
  <c r="BE225" i="1"/>
  <c r="BE226" i="1" a="1"/>
  <c r="BE226" i="1" s="1"/>
  <c r="BE227" i="1" a="1"/>
  <c r="BE227" i="1"/>
  <c r="BE228" i="1" a="1"/>
  <c r="BE228" i="1" s="1"/>
  <c r="BE229" i="1" a="1"/>
  <c r="BE229" i="1"/>
  <c r="BE230" i="1" a="1"/>
  <c r="BE230" i="1"/>
  <c r="BE231" i="1" a="1"/>
  <c r="BE231" i="1" s="1"/>
  <c r="BE232" i="1" a="1"/>
  <c r="BE232" i="1"/>
  <c r="BE233" i="1" a="1"/>
  <c r="BE233" i="1"/>
  <c r="BE4" i="1" a="1"/>
  <c r="BE4" i="1"/>
  <c r="BE5" i="1" a="1"/>
  <c r="BE5" i="1"/>
  <c r="BE6" i="1" a="1"/>
  <c r="BE6" i="1"/>
  <c r="BE7" i="1" a="1"/>
  <c r="BE7" i="1"/>
  <c r="BE8" i="1" a="1"/>
  <c r="BE8" i="1"/>
  <c r="BE9" i="1" a="1"/>
  <c r="BE9" i="1" s="1"/>
  <c r="BE10" i="1" a="1"/>
  <c r="BE10" i="1"/>
  <c r="BE11" i="1" a="1"/>
  <c r="BE11" i="1"/>
  <c r="BE12" i="1" a="1"/>
  <c r="BE12" i="1"/>
  <c r="BE13" i="1" a="1"/>
  <c r="BE13" i="1"/>
  <c r="BE14" i="1" a="1"/>
  <c r="BE14" i="1"/>
  <c r="BE15" i="1" a="1"/>
  <c r="BE15" i="1"/>
  <c r="BE16" i="1" a="1"/>
  <c r="BE16" i="1"/>
  <c r="BE3" i="1" a="1"/>
  <c r="BE3" i="1" s="1"/>
  <c r="AT84" i="1" l="1" a="1"/>
  <c r="AT84" i="1" s="1"/>
  <c r="AT75" i="1" a="1"/>
  <c r="AT75" i="1" s="1"/>
  <c r="AT103" i="1" a="1"/>
  <c r="AT103" i="1" s="1"/>
  <c r="AA103" i="1" a="1"/>
  <c r="AA103" i="1" s="1"/>
  <c r="AT198" i="1" a="1"/>
  <c r="AT198" i="1" s="1"/>
  <c r="AT4" i="1" a="1"/>
  <c r="AT4" i="1" s="1"/>
  <c r="AT5" i="1" a="1"/>
  <c r="AT5" i="1" s="1"/>
  <c r="AT6" i="1" a="1"/>
  <c r="AT6" i="1" s="1"/>
  <c r="AT7" i="1" a="1"/>
  <c r="AT7" i="1" s="1"/>
  <c r="AT8" i="1" a="1"/>
  <c r="AT8" i="1" s="1"/>
  <c r="AT9" i="1" a="1"/>
  <c r="AT9" i="1" s="1"/>
  <c r="AT10" i="1" a="1"/>
  <c r="AT10" i="1" s="1"/>
  <c r="AT11" i="1" a="1"/>
  <c r="AT11" i="1" s="1"/>
  <c r="AT12" i="1" a="1"/>
  <c r="AT12" i="1" s="1"/>
  <c r="AT13" i="1" a="1"/>
  <c r="AT13" i="1" s="1"/>
  <c r="AT14" i="1" a="1"/>
  <c r="AT14" i="1" s="1"/>
  <c r="AT15" i="1" a="1"/>
  <c r="AT15" i="1" s="1"/>
  <c r="AT16" i="1" a="1"/>
  <c r="AT16" i="1" s="1"/>
  <c r="AT18" i="1" a="1"/>
  <c r="AT18" i="1" s="1"/>
  <c r="AT19" i="1" a="1"/>
  <c r="AT19" i="1" s="1"/>
  <c r="AT20" i="1" a="1"/>
  <c r="AT20" i="1" s="1"/>
  <c r="AT21" i="1" a="1"/>
  <c r="AT21" i="1" s="1"/>
  <c r="AT22" i="1" a="1"/>
  <c r="AT22" i="1" s="1"/>
  <c r="AT23" i="1" a="1"/>
  <c r="AT23" i="1" s="1"/>
  <c r="AT24" i="1" a="1"/>
  <c r="AT24" i="1" s="1"/>
  <c r="AT25" i="1" a="1"/>
  <c r="AT25" i="1" s="1"/>
  <c r="AT26" i="1" a="1"/>
  <c r="AT26" i="1" s="1"/>
  <c r="AT27" i="1" a="1"/>
  <c r="AT27" i="1" s="1"/>
  <c r="AT28" i="1" a="1"/>
  <c r="AT28" i="1" s="1"/>
  <c r="AT29" i="1" a="1"/>
  <c r="AT29" i="1" s="1"/>
  <c r="AT30" i="1" a="1"/>
  <c r="AT30" i="1" s="1"/>
  <c r="AT31" i="1" a="1"/>
  <c r="AT31" i="1" s="1"/>
  <c r="AT32" i="1" a="1"/>
  <c r="AT32" i="1" s="1"/>
  <c r="AT33" i="1" a="1"/>
  <c r="AT33" i="1" s="1"/>
  <c r="AT34" i="1" a="1"/>
  <c r="AT34" i="1" s="1"/>
  <c r="AT35" i="1" a="1"/>
  <c r="AT35" i="1" s="1"/>
  <c r="AT36" i="1" a="1"/>
  <c r="AT36" i="1" s="1"/>
  <c r="AT37" i="1" a="1"/>
  <c r="AT37" i="1" s="1"/>
  <c r="AT39" i="1" a="1"/>
  <c r="AT39" i="1" s="1"/>
  <c r="AT40" i="1" a="1"/>
  <c r="AT40" i="1" s="1"/>
  <c r="AT41" i="1" a="1"/>
  <c r="AT41" i="1" s="1"/>
  <c r="AT42" i="1" a="1"/>
  <c r="AT42" i="1" s="1"/>
  <c r="AT43" i="1" a="1"/>
  <c r="AT43" i="1" s="1"/>
  <c r="AT44" i="1" a="1"/>
  <c r="AT44" i="1" s="1"/>
  <c r="AT45" i="1" a="1"/>
  <c r="AT45" i="1" s="1"/>
  <c r="AT48" i="1" a="1"/>
  <c r="AT48" i="1" s="1"/>
  <c r="AT49" i="1" a="1"/>
  <c r="AT49" i="1" s="1"/>
  <c r="AT50" i="1" a="1"/>
  <c r="AT50" i="1" s="1"/>
  <c r="AT51" i="1" a="1"/>
  <c r="AT51" i="1" s="1"/>
  <c r="AT52" i="1" a="1"/>
  <c r="AT52" i="1" s="1"/>
  <c r="AT53" i="1" a="1"/>
  <c r="AT53" i="1" s="1"/>
  <c r="AT54" i="1" a="1"/>
  <c r="AT54" i="1" s="1"/>
  <c r="AT55" i="1" a="1"/>
  <c r="AT55" i="1" s="1"/>
  <c r="AT56" i="1" a="1"/>
  <c r="AT56" i="1" s="1"/>
  <c r="AT57" i="1" a="1"/>
  <c r="AT57" i="1" s="1"/>
  <c r="AT58" i="1" a="1"/>
  <c r="AT58" i="1" s="1"/>
  <c r="AT59" i="1" a="1"/>
  <c r="AT59" i="1" s="1"/>
  <c r="AT60" i="1" a="1"/>
  <c r="AT60" i="1" s="1"/>
  <c r="AT61" i="1" a="1"/>
  <c r="AT61" i="1" s="1"/>
  <c r="AT62" i="1" a="1"/>
  <c r="AT62" i="1" s="1"/>
  <c r="AT63" i="1" a="1"/>
  <c r="AT63" i="1" s="1"/>
  <c r="AT65" i="1" a="1"/>
  <c r="AT65" i="1" s="1"/>
  <c r="AT66" i="1" a="1"/>
  <c r="AT66" i="1" s="1"/>
  <c r="AT67" i="1" a="1"/>
  <c r="AT67" i="1" s="1"/>
  <c r="AT68" i="1" a="1"/>
  <c r="AT68" i="1" s="1"/>
  <c r="AT70" i="1" a="1"/>
  <c r="AT70" i="1" s="1"/>
  <c r="AT71" i="1" a="1"/>
  <c r="AT71" i="1" s="1"/>
  <c r="AT72" i="1" a="1"/>
  <c r="AT72" i="1" s="1"/>
  <c r="AT73" i="1" a="1"/>
  <c r="AT73" i="1" s="1"/>
  <c r="AT77" i="1" a="1"/>
  <c r="AT77" i="1" s="1"/>
  <c r="AT78" i="1" a="1"/>
  <c r="AT78" i="1" s="1"/>
  <c r="AT79" i="1" a="1"/>
  <c r="AT79" i="1" s="1"/>
  <c r="AT81" i="1" a="1"/>
  <c r="AT81" i="1" s="1"/>
  <c r="AT82" i="1" a="1"/>
  <c r="AT82" i="1" s="1"/>
  <c r="AT83" i="1" a="1"/>
  <c r="AT83" i="1" s="1"/>
  <c r="AT86" i="1" a="1"/>
  <c r="AT86" i="1" s="1"/>
  <c r="AT90" i="1" a="1"/>
  <c r="AT90" i="1" s="1"/>
  <c r="AT91" i="1" a="1"/>
  <c r="AT91" i="1" s="1"/>
  <c r="AT92" i="1" a="1"/>
  <c r="AT92" i="1" s="1"/>
  <c r="AT93" i="1" a="1"/>
  <c r="AT93" i="1" s="1"/>
  <c r="AT94" i="1" a="1"/>
  <c r="AT94" i="1" s="1"/>
  <c r="AT96" i="1" a="1"/>
  <c r="AT96" i="1" s="1"/>
  <c r="AT98" i="1" a="1"/>
  <c r="AT98" i="1" s="1"/>
  <c r="AT100" i="1" a="1"/>
  <c r="AT100" i="1" s="1"/>
  <c r="AT101" i="1" a="1"/>
  <c r="AT101" i="1" s="1"/>
  <c r="AT102" i="1" a="1"/>
  <c r="AT102" i="1" s="1"/>
  <c r="AT104" i="1" a="1"/>
  <c r="AT104" i="1" s="1"/>
  <c r="AT105" i="1" a="1"/>
  <c r="AT105" i="1" s="1"/>
  <c r="AT106" i="1" a="1"/>
  <c r="AT106" i="1" s="1"/>
  <c r="AT107" i="1" a="1"/>
  <c r="AT107" i="1" s="1"/>
  <c r="AT108" i="1" a="1"/>
  <c r="AT108" i="1" s="1"/>
  <c r="AT109" i="1" a="1"/>
  <c r="AT109" i="1" s="1"/>
  <c r="AT110" i="1" a="1"/>
  <c r="AT110" i="1" s="1"/>
  <c r="AT111" i="1" a="1"/>
  <c r="AT111" i="1" s="1"/>
  <c r="AT112" i="1" a="1"/>
  <c r="AT112" i="1" s="1"/>
  <c r="AT113" i="1" a="1"/>
  <c r="AT113" i="1" s="1"/>
  <c r="AT115" i="1" a="1"/>
  <c r="AT115" i="1" s="1"/>
  <c r="AT116" i="1" a="1"/>
  <c r="AT116" i="1" s="1"/>
  <c r="AT117" i="1" a="1"/>
  <c r="AT117" i="1" s="1"/>
  <c r="AT118" i="1" a="1"/>
  <c r="AT118" i="1" s="1"/>
  <c r="AT119" i="1" a="1"/>
  <c r="AT119" i="1" s="1"/>
  <c r="AT120" i="1" a="1"/>
  <c r="AT120" i="1" s="1"/>
  <c r="AT121" i="1" a="1"/>
  <c r="AT121" i="1" s="1"/>
  <c r="AT122" i="1" a="1"/>
  <c r="AT122" i="1" s="1"/>
  <c r="AT123" i="1" a="1"/>
  <c r="AT123" i="1" s="1"/>
  <c r="AT125" i="1" a="1"/>
  <c r="AT125" i="1" s="1"/>
  <c r="AT126" i="1" a="1"/>
  <c r="AT126" i="1" s="1"/>
  <c r="AT127" i="1" a="1"/>
  <c r="AT127" i="1" s="1"/>
  <c r="AT128" i="1" a="1"/>
  <c r="AT128" i="1" s="1"/>
  <c r="AT130" i="1" a="1"/>
  <c r="AT130" i="1" s="1"/>
  <c r="AT129" i="1" a="1"/>
  <c r="AT129" i="1" s="1"/>
  <c r="AT132" i="1" a="1"/>
  <c r="AT132" i="1" s="1"/>
  <c r="AT133" i="1" a="1"/>
  <c r="AT133" i="1" s="1"/>
  <c r="AT134" i="1" a="1"/>
  <c r="AT134" i="1" s="1"/>
  <c r="AT135" i="1" a="1"/>
  <c r="AT135" i="1" s="1"/>
  <c r="AT136" i="1" a="1"/>
  <c r="AT136" i="1" s="1"/>
  <c r="AT137" i="1" a="1"/>
  <c r="AT137" i="1" s="1"/>
  <c r="AT138" i="1" a="1"/>
  <c r="AT138" i="1" s="1"/>
  <c r="AT139" i="1" a="1"/>
  <c r="AT139" i="1" s="1"/>
  <c r="AT140" i="1" a="1"/>
  <c r="AT140" i="1" s="1"/>
  <c r="AT141" i="1" a="1"/>
  <c r="AT141" i="1" s="1"/>
  <c r="AT142" i="1" a="1"/>
  <c r="AT142" i="1" s="1"/>
  <c r="AT143" i="1" a="1"/>
  <c r="AT143" i="1" s="1"/>
  <c r="AT144" i="1" a="1"/>
  <c r="AT144" i="1" s="1"/>
  <c r="AT145" i="1" a="1"/>
  <c r="AT145" i="1" s="1"/>
  <c r="AT146" i="1" a="1"/>
  <c r="AT146" i="1" s="1"/>
  <c r="AT147" i="1" a="1"/>
  <c r="AT147" i="1" s="1"/>
  <c r="AT148" i="1" a="1"/>
  <c r="AT148" i="1" s="1"/>
  <c r="AT149" i="1" a="1"/>
  <c r="AT149" i="1" s="1"/>
  <c r="AT151" i="1" a="1"/>
  <c r="AT151" i="1" s="1"/>
  <c r="AT152" i="1" a="1"/>
  <c r="AT152" i="1" s="1"/>
  <c r="AT153" i="1" a="1"/>
  <c r="AT153" i="1" s="1"/>
  <c r="AT154" i="1" a="1"/>
  <c r="AT154" i="1" s="1"/>
  <c r="AT155" i="1" a="1"/>
  <c r="AT155" i="1" s="1"/>
  <c r="AT156" i="1" a="1"/>
  <c r="AT156" i="1" s="1"/>
  <c r="AT157" i="1" a="1"/>
  <c r="AT157" i="1" s="1"/>
  <c r="AT158" i="1" a="1"/>
  <c r="AT158" i="1" s="1"/>
  <c r="AT159" i="1" a="1"/>
  <c r="AT159" i="1" s="1"/>
  <c r="AT160" i="1" a="1"/>
  <c r="AT160" i="1" s="1"/>
  <c r="AT161" i="1" a="1"/>
  <c r="AT161" i="1" s="1"/>
  <c r="AT162" i="1" a="1"/>
  <c r="AT162" i="1" s="1"/>
  <c r="AT163" i="1" a="1"/>
  <c r="AT163" i="1" s="1"/>
  <c r="AT164" i="1" a="1"/>
  <c r="AT164" i="1" s="1"/>
  <c r="AT165" i="1" a="1"/>
  <c r="AT165" i="1" s="1"/>
  <c r="AT167" i="1" a="1"/>
  <c r="AT167" i="1" s="1"/>
  <c r="AT169" i="1" a="1"/>
  <c r="AT169" i="1" s="1"/>
  <c r="AT170" i="1" a="1"/>
  <c r="AT170" i="1" s="1"/>
  <c r="AT171" i="1" a="1"/>
  <c r="AT171" i="1" s="1"/>
  <c r="AT172" i="1" a="1"/>
  <c r="AT172" i="1" s="1"/>
  <c r="AT173" i="1" a="1"/>
  <c r="AT173" i="1" s="1"/>
  <c r="AT174" i="1" a="1"/>
  <c r="AT174" i="1" s="1"/>
  <c r="AT176" i="1" a="1"/>
  <c r="AT176" i="1" s="1"/>
  <c r="AT178" i="1" a="1"/>
  <c r="AT178" i="1" s="1"/>
  <c r="AT179" i="1" a="1"/>
  <c r="AT179" i="1" s="1"/>
  <c r="AT181" i="1" a="1"/>
  <c r="AT181" i="1" s="1"/>
  <c r="AT182" i="1" a="1"/>
  <c r="AT182" i="1" s="1"/>
  <c r="AT183" i="1" a="1"/>
  <c r="AT183" i="1" s="1"/>
  <c r="AT184" i="1" a="1"/>
  <c r="AT184" i="1" s="1"/>
  <c r="AT185" i="1" a="1"/>
  <c r="AT185" i="1" s="1"/>
  <c r="AT188" i="1" a="1"/>
  <c r="AT188" i="1" s="1"/>
  <c r="AT189" i="1" a="1"/>
  <c r="AT189" i="1" s="1"/>
  <c r="AT190" i="1" a="1"/>
  <c r="AT190" i="1" s="1"/>
  <c r="AT191" i="1" a="1"/>
  <c r="AT191" i="1" s="1"/>
  <c r="AT192" i="1" a="1"/>
  <c r="AT192" i="1" s="1"/>
  <c r="AT194" i="1" a="1"/>
  <c r="AT194" i="1" s="1"/>
  <c r="AT195" i="1" a="1"/>
  <c r="AT195" i="1" s="1"/>
  <c r="AT197" i="1" a="1"/>
  <c r="AT197" i="1" s="1"/>
  <c r="AT200" i="1" a="1"/>
  <c r="AT200" i="1" s="1"/>
  <c r="AT201" i="1" a="1"/>
  <c r="AT201" i="1" s="1"/>
  <c r="AT203" i="1" a="1"/>
  <c r="AT203" i="1" s="1"/>
  <c r="AT205" i="1" a="1"/>
  <c r="AT205" i="1" s="1"/>
  <c r="AT207" i="1" a="1"/>
  <c r="AT207" i="1" s="1"/>
  <c r="AT208" i="1" a="1"/>
  <c r="AT208" i="1" s="1"/>
  <c r="AT209" i="1" a="1"/>
  <c r="AT209" i="1" s="1"/>
  <c r="AT211" i="1" a="1"/>
  <c r="AT211" i="1" s="1"/>
  <c r="AT212" i="1" a="1"/>
  <c r="AT212" i="1" s="1"/>
  <c r="AT214" i="1" a="1"/>
  <c r="AT214" i="1" s="1"/>
  <c r="AT215" i="1" a="1"/>
  <c r="AT215" i="1" s="1"/>
  <c r="AT216" i="1" a="1"/>
  <c r="AT216" i="1" s="1"/>
  <c r="AT217" i="1" a="1"/>
  <c r="AT217" i="1" s="1"/>
  <c r="AT218" i="1" a="1"/>
  <c r="AT218" i="1" s="1"/>
  <c r="AT219" i="1" a="1"/>
  <c r="AT219" i="1" s="1"/>
  <c r="AT220" i="1" a="1"/>
  <c r="AT220" i="1" s="1"/>
  <c r="AT221" i="1" a="1"/>
  <c r="AT221" i="1" s="1"/>
  <c r="AT222" i="1" a="1"/>
  <c r="AT222" i="1" s="1"/>
  <c r="AT223" i="1" a="1"/>
  <c r="AT223" i="1" s="1"/>
  <c r="AT224" i="1" a="1"/>
  <c r="AT224" i="1" s="1"/>
  <c r="AT225" i="1" a="1"/>
  <c r="AT225" i="1" s="1"/>
  <c r="AT227" i="1" a="1"/>
  <c r="AT227" i="1" s="1"/>
  <c r="AT228" i="1" a="1"/>
  <c r="AT228" i="1" s="1"/>
  <c r="AT229" i="1" a="1"/>
  <c r="AT229" i="1" s="1"/>
  <c r="AT230" i="1" a="1"/>
  <c r="AT230" i="1" s="1"/>
  <c r="AT231" i="1" a="1"/>
  <c r="AT231" i="1" s="1"/>
  <c r="AT232" i="1" a="1"/>
  <c r="AT232" i="1" s="1"/>
  <c r="AT234" i="1" a="1"/>
  <c r="AT234" i="1" s="1"/>
  <c r="AT235" i="1" a="1"/>
  <c r="AT235" i="1" s="1"/>
  <c r="AT236" i="1" a="1"/>
  <c r="AT236" i="1" s="1"/>
  <c r="AT237" i="1" a="1"/>
  <c r="AT237" i="1" s="1"/>
  <c r="AT238" i="1" a="1"/>
  <c r="AT238" i="1" s="1"/>
  <c r="AT239" i="1" a="1"/>
  <c r="AT239" i="1" s="1"/>
  <c r="AT3" i="1" a="1"/>
  <c r="AT3" i="1" s="1"/>
  <c r="CC52" i="1" a="1"/>
  <c r="CC52" i="1" s="1"/>
  <c r="AA52" i="1" a="1"/>
  <c r="AA52" i="1" s="1"/>
  <c r="AA228" i="1" a="1"/>
  <c r="AA228" i="1" s="1"/>
  <c r="AA227" i="1" a="1"/>
  <c r="AA227" i="1" s="1"/>
  <c r="AA223" i="1" a="1"/>
  <c r="AA223" i="1" s="1"/>
  <c r="AA222" i="1" a="1"/>
  <c r="AA222" i="1" s="1"/>
  <c r="AA221" i="1" a="1"/>
  <c r="AA221" i="1" s="1"/>
  <c r="AA219" i="1" a="1"/>
  <c r="AA219" i="1" s="1"/>
  <c r="AA215" i="1" a="1"/>
  <c r="AA215" i="1" s="1"/>
  <c r="AA211" i="1" a="1"/>
  <c r="AA211" i="1" s="1"/>
  <c r="AA209" i="1" a="1"/>
  <c r="AA209" i="1" s="1"/>
  <c r="AA208" i="1" a="1"/>
  <c r="AA208" i="1" s="1"/>
  <c r="AA205" i="1" a="1"/>
  <c r="AA205" i="1" s="1"/>
  <c r="AA200" i="1" a="1"/>
  <c r="AA200" i="1" s="1"/>
  <c r="AA195" i="1" a="1"/>
  <c r="AA195" i="1" s="1"/>
  <c r="AA192" i="1" a="1"/>
  <c r="AA192" i="1" s="1"/>
  <c r="AA191" i="1" a="1"/>
  <c r="AA191" i="1" s="1"/>
  <c r="AA190" i="1" a="1"/>
  <c r="AA190" i="1" s="1"/>
  <c r="AA189" i="1" a="1"/>
  <c r="AA189" i="1" s="1"/>
  <c r="AA183" i="1" a="1"/>
  <c r="AA183" i="1" s="1"/>
  <c r="AA164" i="1" a="1"/>
  <c r="AA164" i="1" s="1"/>
  <c r="AA161" i="1" a="1"/>
  <c r="AA161" i="1" s="1"/>
  <c r="AA160" i="1" a="1"/>
  <c r="AA160" i="1" s="1"/>
  <c r="AA159" i="1" a="1"/>
  <c r="AA159" i="1" s="1"/>
  <c r="AA158" i="1" a="1"/>
  <c r="AA158" i="1" s="1"/>
  <c r="AA157" i="1" a="1"/>
  <c r="AA157" i="1" s="1"/>
  <c r="AA156" i="1" a="1"/>
  <c r="AA156" i="1" s="1"/>
  <c r="AA155" i="1" a="1"/>
  <c r="AA155" i="1" s="1"/>
  <c r="AA154" i="1" a="1"/>
  <c r="AA154" i="1" s="1"/>
  <c r="AA153" i="1" a="1"/>
  <c r="AA153" i="1" s="1"/>
  <c r="AA152" i="1" a="1"/>
  <c r="AA152" i="1" s="1"/>
  <c r="AA151" i="1" a="1"/>
  <c r="AA151" i="1" s="1"/>
  <c r="AA149" i="1" a="1"/>
  <c r="AA149" i="1" s="1"/>
  <c r="AA148" i="1" a="1"/>
  <c r="AA148" i="1" s="1"/>
  <c r="AA147" i="1" a="1"/>
  <c r="AA147" i="1" s="1"/>
  <c r="AA146" i="1" a="1"/>
  <c r="AA146" i="1" s="1"/>
  <c r="AA145" i="1" a="1"/>
  <c r="AA145" i="1" s="1"/>
  <c r="AA144" i="1" a="1"/>
  <c r="AA144" i="1" s="1"/>
  <c r="AA143" i="1" a="1"/>
  <c r="AA143" i="1" s="1"/>
  <c r="AA142" i="1" a="1"/>
  <c r="AA142" i="1" s="1"/>
  <c r="AA140" i="1" a="1"/>
  <c r="AA140" i="1" s="1"/>
  <c r="AA139" i="1" a="1"/>
  <c r="AA139" i="1" s="1"/>
  <c r="AA138" i="1" a="1"/>
  <c r="AA138" i="1" s="1"/>
  <c r="AA137" i="1" a="1"/>
  <c r="AA137" i="1" s="1"/>
  <c r="AA136" i="1" a="1"/>
  <c r="AA136" i="1" s="1"/>
  <c r="AA133" i="1" a="1"/>
  <c r="AA133" i="1" s="1"/>
  <c r="AA132" i="1" a="1"/>
  <c r="AA132" i="1" s="1"/>
  <c r="AA126" i="1" a="1"/>
  <c r="AA126" i="1" s="1"/>
  <c r="AA123" i="1" a="1"/>
  <c r="AA123" i="1" s="1"/>
  <c r="AA122" i="1" a="1"/>
  <c r="AA122" i="1" s="1"/>
  <c r="AA115" i="1" a="1"/>
  <c r="AA115" i="1" s="1"/>
  <c r="AA112" i="1" a="1"/>
  <c r="AA112" i="1" s="1"/>
  <c r="AA106" i="1" a="1"/>
  <c r="AA106" i="1" s="1"/>
  <c r="AA101" i="1" a="1"/>
  <c r="AA101" i="1" s="1"/>
  <c r="AA100" i="1" a="1"/>
  <c r="AA100" i="1" s="1"/>
  <c r="AA98" i="1" a="1"/>
  <c r="AA98" i="1" s="1"/>
  <c r="AA96" i="1" a="1"/>
  <c r="AA96" i="1" s="1"/>
  <c r="AA79" i="1" a="1"/>
  <c r="AA79" i="1" s="1"/>
  <c r="AA78" i="1" a="1"/>
  <c r="AA78" i="1" s="1"/>
  <c r="AA71" i="1" a="1"/>
  <c r="AA71" i="1" s="1"/>
  <c r="AA66" i="1" a="1"/>
  <c r="AA66" i="1" s="1"/>
  <c r="AA63" i="1" a="1"/>
  <c r="AA63" i="1" s="1"/>
  <c r="AA53" i="1" a="1"/>
  <c r="AA53" i="1" s="1"/>
  <c r="AA45" i="1" a="1"/>
  <c r="AA45" i="1" s="1"/>
  <c r="AA44" i="1" a="1"/>
  <c r="AA44" i="1" s="1"/>
  <c r="AA43" i="1" a="1"/>
  <c r="AA43" i="1" s="1"/>
  <c r="AA36" i="1" a="1"/>
  <c r="AA36" i="1" s="1"/>
  <c r="AA29" i="1" a="1"/>
  <c r="AA29" i="1" s="1"/>
  <c r="AA24" i="1" a="1"/>
  <c r="AA24" i="1" s="1"/>
  <c r="AA20" i="1" a="1"/>
  <c r="AA20" i="1" s="1"/>
  <c r="AA14" i="1" a="1"/>
  <c r="AA14" i="1" s="1"/>
  <c r="AA13" i="1" a="1"/>
  <c r="AA13" i="1" s="1"/>
  <c r="AA12" i="1" a="1"/>
  <c r="AA12" i="1" s="1"/>
  <c r="AA11" i="1" a="1"/>
  <c r="AA11" i="1" s="1"/>
  <c r="AA10" i="1" a="1"/>
  <c r="AA10" i="1" s="1"/>
  <c r="AA7" i="1" a="1"/>
  <c r="AA7" i="1" s="1"/>
  <c r="AA4" i="1" a="1"/>
  <c r="AA4" i="1" s="1"/>
  <c r="AA5" i="1" a="1"/>
  <c r="AA5" i="1" s="1"/>
  <c r="AA6" i="1" a="1"/>
  <c r="AA6" i="1" s="1"/>
  <c r="AA8" i="1" a="1"/>
  <c r="AA8" i="1" s="1"/>
  <c r="AA9" i="1" a="1"/>
  <c r="AA9" i="1" s="1"/>
  <c r="AA15" i="1" a="1"/>
  <c r="AA15" i="1" s="1"/>
  <c r="AA16" i="1" a="1"/>
  <c r="AA16" i="1" s="1"/>
  <c r="AA18" i="1" a="1"/>
  <c r="AA18" i="1" s="1"/>
  <c r="AA19" i="1" a="1"/>
  <c r="AA19" i="1" s="1"/>
  <c r="AA21" i="1" a="1"/>
  <c r="AA21" i="1" s="1"/>
  <c r="AA22" i="1" a="1"/>
  <c r="AA22" i="1" s="1"/>
  <c r="AA23" i="1" a="1"/>
  <c r="AA23" i="1" s="1"/>
  <c r="AA25" i="1" a="1"/>
  <c r="AA25" i="1" s="1"/>
  <c r="AA26" i="1" a="1"/>
  <c r="AA26" i="1" s="1"/>
  <c r="AA27" i="1" a="1"/>
  <c r="AA27" i="1" s="1"/>
  <c r="AA28" i="1" a="1"/>
  <c r="AA28" i="1" s="1"/>
  <c r="AA30" i="1" a="1"/>
  <c r="AA30" i="1" s="1"/>
  <c r="AA31" i="1" a="1"/>
  <c r="AA31" i="1" s="1"/>
  <c r="AA32" i="1" a="1"/>
  <c r="AA32" i="1" s="1"/>
  <c r="AA33" i="1" a="1"/>
  <c r="AA33" i="1" s="1"/>
  <c r="AA34" i="1" a="1"/>
  <c r="AA34" i="1" s="1"/>
  <c r="AA35" i="1" a="1"/>
  <c r="AA35" i="1" s="1"/>
  <c r="AA37" i="1" a="1"/>
  <c r="AA37" i="1" s="1"/>
  <c r="AA39" i="1" a="1"/>
  <c r="AA39" i="1" s="1"/>
  <c r="AA40" i="1" a="1"/>
  <c r="AA40" i="1" s="1"/>
  <c r="AA42" i="1" a="1"/>
  <c r="AA42" i="1" s="1"/>
  <c r="AA48" i="1" a="1"/>
  <c r="AA48" i="1" s="1"/>
  <c r="AA49" i="1" a="1"/>
  <c r="AA49" i="1" s="1"/>
  <c r="AA50" i="1" a="1"/>
  <c r="AA50" i="1" s="1"/>
  <c r="AA51" i="1" a="1"/>
  <c r="AA51" i="1" s="1"/>
  <c r="AA54" i="1" a="1"/>
  <c r="AA54" i="1" s="1"/>
  <c r="AA55" i="1" a="1"/>
  <c r="AA55" i="1" s="1"/>
  <c r="AA56" i="1" a="1"/>
  <c r="AA56" i="1" s="1"/>
  <c r="AA57" i="1" a="1"/>
  <c r="AA57" i="1" s="1"/>
  <c r="AA58" i="1" a="1"/>
  <c r="AA58" i="1" s="1"/>
  <c r="AA59" i="1" a="1"/>
  <c r="AA59" i="1" s="1"/>
  <c r="AA60" i="1" a="1"/>
  <c r="AA60" i="1" s="1"/>
  <c r="AA61" i="1" a="1"/>
  <c r="AA61" i="1" s="1"/>
  <c r="AA62" i="1" a="1"/>
  <c r="AA62" i="1" s="1"/>
  <c r="AA65" i="1" a="1"/>
  <c r="AA65" i="1" s="1"/>
  <c r="AA67" i="1" a="1"/>
  <c r="AA67" i="1" s="1"/>
  <c r="AA68" i="1" a="1"/>
  <c r="AA68" i="1" s="1"/>
  <c r="AA72" i="1" a="1"/>
  <c r="AA72" i="1" s="1"/>
  <c r="AA73" i="1" a="1"/>
  <c r="AA73" i="1" s="1"/>
  <c r="AA77" i="1" a="1"/>
  <c r="AA77" i="1" s="1"/>
  <c r="AA81" i="1" a="1"/>
  <c r="AA81" i="1" s="1"/>
  <c r="AA82" i="1" a="1"/>
  <c r="AA82" i="1" s="1"/>
  <c r="AA83" i="1" a="1"/>
  <c r="AA83" i="1" s="1"/>
  <c r="AA90" i="1" a="1"/>
  <c r="AA90" i="1" s="1"/>
  <c r="AA91" i="1" a="1"/>
  <c r="AA91" i="1" s="1"/>
  <c r="AA92" i="1" a="1"/>
  <c r="AA92" i="1" s="1"/>
  <c r="AA93" i="1" a="1"/>
  <c r="AA93" i="1" s="1"/>
  <c r="AA94" i="1" a="1"/>
  <c r="AA94" i="1" s="1"/>
  <c r="AA102" i="1" a="1"/>
  <c r="AA102" i="1" s="1"/>
  <c r="AA104" i="1" a="1"/>
  <c r="AA104" i="1" s="1"/>
  <c r="AA105" i="1" a="1"/>
  <c r="AA105" i="1" s="1"/>
  <c r="AA107" i="1" a="1"/>
  <c r="AA107" i="1" s="1"/>
  <c r="AA108" i="1" a="1"/>
  <c r="AA108" i="1" s="1"/>
  <c r="AA109" i="1" a="1"/>
  <c r="AA109" i="1" s="1"/>
  <c r="AA110" i="1" a="1"/>
  <c r="AA110" i="1" s="1"/>
  <c r="AA113" i="1" a="1"/>
  <c r="AA113" i="1" s="1"/>
  <c r="AA116" i="1" a="1"/>
  <c r="AA116" i="1" s="1"/>
  <c r="AA117" i="1" a="1"/>
  <c r="AA117" i="1" s="1"/>
  <c r="AA118" i="1" a="1"/>
  <c r="AA118" i="1" s="1"/>
  <c r="AA119" i="1" a="1"/>
  <c r="AA119" i="1" s="1"/>
  <c r="AA120" i="1" a="1"/>
  <c r="AA120" i="1" s="1"/>
  <c r="AA121" i="1" a="1"/>
  <c r="AA121" i="1" s="1"/>
  <c r="AA127" i="1" a="1"/>
  <c r="AA127" i="1" s="1"/>
  <c r="AA128" i="1" a="1"/>
  <c r="AA128" i="1" s="1"/>
  <c r="AA130" i="1" a="1"/>
  <c r="AA130" i="1" s="1"/>
  <c r="AA129" i="1" a="1"/>
  <c r="AA129" i="1" s="1"/>
  <c r="AA134" i="1" a="1"/>
  <c r="AA134" i="1" s="1"/>
  <c r="AA135" i="1" a="1"/>
  <c r="AA135" i="1" s="1"/>
  <c r="AA141" i="1" a="1"/>
  <c r="AA141" i="1" s="1"/>
  <c r="AA162" i="1" a="1"/>
  <c r="AA162" i="1" s="1"/>
  <c r="AA163" i="1" a="1"/>
  <c r="AA163" i="1" s="1"/>
  <c r="AA165" i="1" a="1"/>
  <c r="AA165" i="1" s="1"/>
  <c r="AA167" i="1" a="1"/>
  <c r="AA167" i="1" s="1"/>
  <c r="AA169" i="1" a="1"/>
  <c r="AA169" i="1" s="1"/>
  <c r="AA170" i="1" a="1"/>
  <c r="AA170" i="1" s="1"/>
  <c r="AA171" i="1" a="1"/>
  <c r="AA171" i="1" s="1"/>
  <c r="AA172" i="1" a="1"/>
  <c r="AA172" i="1" s="1"/>
  <c r="AA173" i="1" a="1"/>
  <c r="AA173" i="1" s="1"/>
  <c r="AA174" i="1" a="1"/>
  <c r="AA174" i="1" s="1"/>
  <c r="AA176" i="1" a="1"/>
  <c r="AA176" i="1" s="1"/>
  <c r="AA178" i="1" a="1"/>
  <c r="AA178" i="1" s="1"/>
  <c r="AA179" i="1" a="1"/>
  <c r="AA179" i="1" s="1"/>
  <c r="AA181" i="1" a="1"/>
  <c r="AA181" i="1" s="1"/>
  <c r="AA184" i="1" a="1"/>
  <c r="AA184" i="1" s="1"/>
  <c r="AA185" i="1" a="1"/>
  <c r="AA185" i="1" s="1"/>
  <c r="AA188" i="1" a="1"/>
  <c r="AA188" i="1" s="1"/>
  <c r="AA194" i="1" a="1"/>
  <c r="AA194" i="1" s="1"/>
  <c r="AA197" i="1" a="1"/>
  <c r="AA197" i="1" s="1"/>
  <c r="AA201" i="1" a="1"/>
  <c r="AA201" i="1" s="1"/>
  <c r="AA203" i="1" a="1"/>
  <c r="AA203" i="1" s="1"/>
  <c r="AA207" i="1" a="1"/>
  <c r="AA207" i="1" s="1"/>
  <c r="AA212" i="1" a="1"/>
  <c r="AA212" i="1" s="1"/>
  <c r="AA216" i="1" a="1"/>
  <c r="AA216" i="1" s="1"/>
  <c r="AA217" i="1" a="1"/>
  <c r="AA217" i="1" s="1"/>
  <c r="AA218" i="1" a="1"/>
  <c r="AA218" i="1" s="1"/>
  <c r="AA220" i="1" a="1"/>
  <c r="AA220" i="1" s="1"/>
  <c r="AA224" i="1" a="1"/>
  <c r="AA224" i="1" s="1"/>
  <c r="AA225" i="1" a="1"/>
  <c r="AA225" i="1" s="1"/>
  <c r="AA229" i="1" a="1"/>
  <c r="AA229" i="1" s="1"/>
  <c r="AA230" i="1" a="1"/>
  <c r="AA230" i="1" s="1"/>
  <c r="AA231" i="1" a="1"/>
  <c r="AA231" i="1" s="1"/>
  <c r="AA232" i="1" a="1"/>
  <c r="AA232" i="1" s="1"/>
  <c r="AA234" i="1" a="1"/>
  <c r="AA234" i="1" s="1"/>
  <c r="AA3" i="1" a="1"/>
  <c r="AA3" i="1" s="1"/>
  <c r="CB234" i="1" a="1"/>
  <c r="CB234" i="1" s="1"/>
  <c r="L239" i="1"/>
  <c r="CC10" i="1" a="1"/>
  <c r="CC10" i="1" s="1"/>
  <c r="CC11" i="1" a="1"/>
  <c r="CC11" i="1" s="1"/>
  <c r="CC12" i="1" a="1"/>
  <c r="CC12" i="1" s="1"/>
  <c r="CC13" i="1" a="1"/>
  <c r="CC13" i="1" s="1"/>
  <c r="CC14" i="1" a="1"/>
  <c r="CC14" i="1" s="1"/>
  <c r="CC15" i="1" a="1"/>
  <c r="CC15" i="1" s="1"/>
  <c r="CC16" i="1" a="1"/>
  <c r="CC16" i="1" s="1"/>
  <c r="CC18" i="1" a="1"/>
  <c r="CC18" i="1" s="1"/>
  <c r="CC19" i="1" a="1"/>
  <c r="CC19" i="1" s="1"/>
  <c r="CC20" i="1" a="1"/>
  <c r="CC20" i="1" s="1"/>
  <c r="CC21" i="1" a="1"/>
  <c r="CC21" i="1" s="1"/>
  <c r="CC22" i="1" a="1"/>
  <c r="CC22" i="1" s="1"/>
  <c r="CC23" i="1" a="1"/>
  <c r="CC23" i="1" s="1"/>
  <c r="CC24" i="1" a="1"/>
  <c r="CC24" i="1" s="1"/>
  <c r="CC25" i="1" a="1"/>
  <c r="CC25" i="1" s="1"/>
  <c r="CC26" i="1" a="1"/>
  <c r="CC26" i="1" s="1"/>
  <c r="CC27" i="1" a="1"/>
  <c r="CC27" i="1" s="1"/>
  <c r="CC28" i="1" a="1"/>
  <c r="CC28" i="1" s="1"/>
  <c r="CC29" i="1" a="1"/>
  <c r="CC29" i="1" s="1"/>
  <c r="CC30" i="1" a="1"/>
  <c r="CC30" i="1" s="1"/>
  <c r="CC31" i="1" a="1"/>
  <c r="CC31" i="1" s="1"/>
  <c r="CC32" i="1" a="1"/>
  <c r="CC32" i="1" s="1"/>
  <c r="CC33" i="1" a="1"/>
  <c r="CC33" i="1" s="1"/>
  <c r="CC34" i="1" a="1"/>
  <c r="CC34" i="1" s="1"/>
  <c r="CC35" i="1" a="1"/>
  <c r="CC35" i="1" s="1"/>
  <c r="CC36" i="1" a="1"/>
  <c r="CC36" i="1" s="1"/>
  <c r="CC37" i="1" a="1"/>
  <c r="CC37" i="1" s="1"/>
  <c r="CC39" i="1" a="1"/>
  <c r="CC39" i="1" s="1"/>
  <c r="CC40" i="1" a="1"/>
  <c r="CC40" i="1" s="1"/>
  <c r="CC42" i="1" a="1"/>
  <c r="CC42" i="1" s="1"/>
  <c r="CC43" i="1" a="1"/>
  <c r="CC43" i="1" s="1"/>
  <c r="CC44" i="1" a="1"/>
  <c r="CC44" i="1" s="1"/>
  <c r="CC45" i="1" a="1"/>
  <c r="CC45" i="1" s="1"/>
  <c r="CC48" i="1" a="1"/>
  <c r="CC48" i="1" s="1"/>
  <c r="CC49" i="1" a="1"/>
  <c r="CC49" i="1" s="1"/>
  <c r="CC50" i="1" a="1"/>
  <c r="CC50" i="1" s="1"/>
  <c r="CC51" i="1" a="1"/>
  <c r="CC51" i="1" s="1"/>
  <c r="CC53" i="1" a="1"/>
  <c r="CC53" i="1" s="1"/>
  <c r="CC54" i="1" a="1"/>
  <c r="CC54" i="1" s="1"/>
  <c r="CC55" i="1" a="1"/>
  <c r="CC55" i="1" s="1"/>
  <c r="CC56" i="1" a="1"/>
  <c r="CC56" i="1" s="1"/>
  <c r="CC57" i="1" a="1"/>
  <c r="CC57" i="1" s="1"/>
  <c r="CC58" i="1" a="1"/>
  <c r="CC58" i="1" s="1"/>
  <c r="CC59" i="1" a="1"/>
  <c r="CC59" i="1" s="1"/>
  <c r="CC60" i="1" a="1"/>
  <c r="CC60" i="1" s="1"/>
  <c r="CC61" i="1" a="1"/>
  <c r="CC61" i="1" s="1"/>
  <c r="CC62" i="1" a="1"/>
  <c r="CC62" i="1" s="1"/>
  <c r="CC63" i="1" a="1"/>
  <c r="CC63" i="1" s="1"/>
  <c r="CC65" i="1" a="1"/>
  <c r="CC65" i="1" s="1"/>
  <c r="CC66" i="1" a="1"/>
  <c r="CC66" i="1" s="1"/>
  <c r="CC67" i="1" a="1"/>
  <c r="CC67" i="1" s="1"/>
  <c r="CC68" i="1" a="1"/>
  <c r="CC68" i="1" s="1"/>
  <c r="CC71" i="1" a="1"/>
  <c r="CC71" i="1" s="1"/>
  <c r="CC72" i="1" a="1"/>
  <c r="CC72" i="1" s="1"/>
  <c r="CC73" i="1" a="1"/>
  <c r="CC73" i="1" s="1"/>
  <c r="CC77" i="1" a="1"/>
  <c r="CC77" i="1" s="1"/>
  <c r="CC78" i="1" a="1"/>
  <c r="CC78" i="1" s="1"/>
  <c r="CC79" i="1" a="1"/>
  <c r="CC79" i="1" s="1"/>
  <c r="CC81" i="1" a="1"/>
  <c r="CC81" i="1" s="1"/>
  <c r="CC82" i="1" a="1"/>
  <c r="CC82" i="1" s="1"/>
  <c r="CC83" i="1" a="1"/>
  <c r="CC83" i="1" s="1"/>
  <c r="CC90" i="1" a="1"/>
  <c r="CC90" i="1" s="1"/>
  <c r="CC91" i="1" a="1"/>
  <c r="CC91" i="1" s="1"/>
  <c r="CC92" i="1" a="1"/>
  <c r="CC92" i="1" s="1"/>
  <c r="CC93" i="1" a="1"/>
  <c r="CC93" i="1" s="1"/>
  <c r="CC94" i="1" a="1"/>
  <c r="CC94" i="1" s="1"/>
  <c r="CC96" i="1" a="1"/>
  <c r="CC96" i="1" s="1"/>
  <c r="CC98" i="1" a="1"/>
  <c r="CC98" i="1" s="1"/>
  <c r="CC100" i="1" a="1"/>
  <c r="CC100" i="1" s="1"/>
  <c r="CC101" i="1" a="1"/>
  <c r="CC101" i="1" s="1"/>
  <c r="CC102" i="1" a="1"/>
  <c r="CC102" i="1" s="1"/>
  <c r="CC104" i="1" a="1"/>
  <c r="CC104" i="1" s="1"/>
  <c r="CC105" i="1" a="1"/>
  <c r="CC105" i="1" s="1"/>
  <c r="CC106" i="1" a="1"/>
  <c r="CC106" i="1" s="1"/>
  <c r="CC107" i="1" a="1"/>
  <c r="CC107" i="1" s="1"/>
  <c r="CC108" i="1" a="1"/>
  <c r="CC108" i="1" s="1"/>
  <c r="CC109" i="1" a="1"/>
  <c r="CC109" i="1" s="1"/>
  <c r="CC110" i="1" a="1"/>
  <c r="CC110" i="1" s="1"/>
  <c r="CC112" i="1" a="1"/>
  <c r="CC112" i="1" s="1"/>
  <c r="CC113" i="1" a="1"/>
  <c r="CC113" i="1" s="1"/>
  <c r="CC115" i="1" a="1"/>
  <c r="CC115" i="1" s="1"/>
  <c r="CC116" i="1" a="1"/>
  <c r="CC116" i="1" s="1"/>
  <c r="CC117" i="1" a="1"/>
  <c r="CC117" i="1" s="1"/>
  <c r="CC118" i="1" a="1"/>
  <c r="CC118" i="1" s="1"/>
  <c r="CC119" i="1" a="1"/>
  <c r="CC119" i="1" s="1"/>
  <c r="CC120" i="1" a="1"/>
  <c r="CC120" i="1" s="1"/>
  <c r="CC121" i="1" a="1"/>
  <c r="CC121" i="1" s="1"/>
  <c r="CC122" i="1" a="1"/>
  <c r="CC122" i="1" s="1"/>
  <c r="CC123" i="1" a="1"/>
  <c r="CC123" i="1" s="1"/>
  <c r="CC126" i="1" a="1"/>
  <c r="CC126" i="1" s="1"/>
  <c r="CC127" i="1" a="1"/>
  <c r="CC127" i="1" s="1"/>
  <c r="CC128" i="1" a="1"/>
  <c r="CC128" i="1" s="1"/>
  <c r="CC130" i="1" a="1"/>
  <c r="CC130" i="1" s="1"/>
  <c r="CC129" i="1" a="1"/>
  <c r="CC129" i="1" s="1"/>
  <c r="CC132" i="1" a="1"/>
  <c r="CC132" i="1" s="1"/>
  <c r="CC133" i="1" a="1"/>
  <c r="CC133" i="1" s="1"/>
  <c r="CC134" i="1" a="1"/>
  <c r="CC134" i="1" s="1"/>
  <c r="CC135" i="1" a="1"/>
  <c r="CC135" i="1" s="1"/>
  <c r="CC136" i="1" a="1"/>
  <c r="CC136" i="1" s="1"/>
  <c r="CC137" i="1" a="1"/>
  <c r="CC137" i="1" s="1"/>
  <c r="CC138" i="1" a="1"/>
  <c r="CC138" i="1" s="1"/>
  <c r="CC139" i="1" a="1"/>
  <c r="CC139" i="1" s="1"/>
  <c r="CC140" i="1" a="1"/>
  <c r="CC140" i="1" s="1"/>
  <c r="CC141" i="1" a="1"/>
  <c r="CC141" i="1" s="1"/>
  <c r="CC142" i="1" a="1"/>
  <c r="CC142" i="1" s="1"/>
  <c r="CC143" i="1" a="1"/>
  <c r="CC143" i="1" s="1"/>
  <c r="CC144" i="1" a="1"/>
  <c r="CC144" i="1" s="1"/>
  <c r="CC145" i="1" a="1"/>
  <c r="CC145" i="1" s="1"/>
  <c r="CC146" i="1" a="1"/>
  <c r="CC146" i="1" s="1"/>
  <c r="CC147" i="1" a="1"/>
  <c r="CC147" i="1" s="1"/>
  <c r="CC148" i="1" a="1"/>
  <c r="CC148" i="1" s="1"/>
  <c r="CC149" i="1" a="1"/>
  <c r="CC149" i="1" s="1"/>
  <c r="CC151" i="1" a="1"/>
  <c r="CC151" i="1" s="1"/>
  <c r="CC152" i="1" a="1"/>
  <c r="CC152" i="1" s="1"/>
  <c r="CC153" i="1" a="1"/>
  <c r="CC153" i="1" s="1"/>
  <c r="CC154" i="1" a="1"/>
  <c r="CC154" i="1" s="1"/>
  <c r="CC155" i="1" a="1"/>
  <c r="CC155" i="1" s="1"/>
  <c r="CC156" i="1" a="1"/>
  <c r="CC156" i="1" s="1"/>
  <c r="CC157" i="1" a="1"/>
  <c r="CC157" i="1" s="1"/>
  <c r="CC158" i="1" a="1"/>
  <c r="CC158" i="1" s="1"/>
  <c r="CC159" i="1" a="1"/>
  <c r="CC159" i="1" s="1"/>
  <c r="CC160" i="1" a="1"/>
  <c r="CC160" i="1" s="1"/>
  <c r="CC161" i="1" a="1"/>
  <c r="CC161" i="1" s="1"/>
  <c r="CC162" i="1" a="1"/>
  <c r="CC162" i="1" s="1"/>
  <c r="CC163" i="1" a="1"/>
  <c r="CC163" i="1" s="1"/>
  <c r="CC164" i="1" a="1"/>
  <c r="CC164" i="1" s="1"/>
  <c r="CC165" i="1" a="1"/>
  <c r="CC165" i="1" s="1"/>
  <c r="CC167" i="1" a="1"/>
  <c r="CC167" i="1" s="1"/>
  <c r="CC169" i="1" a="1"/>
  <c r="CC169" i="1" s="1"/>
  <c r="CC170" i="1" a="1"/>
  <c r="CC170" i="1" s="1"/>
  <c r="CC171" i="1" a="1"/>
  <c r="CC171" i="1" s="1"/>
  <c r="CC172" i="1" a="1"/>
  <c r="CC172" i="1" s="1"/>
  <c r="CC173" i="1" a="1"/>
  <c r="CC173" i="1" s="1"/>
  <c r="CC174" i="1" a="1"/>
  <c r="CC174" i="1" s="1"/>
  <c r="CC176" i="1" a="1"/>
  <c r="CC176" i="1" s="1"/>
  <c r="CC178" i="1" a="1"/>
  <c r="CC178" i="1" s="1"/>
  <c r="CC179" i="1" a="1"/>
  <c r="CC179" i="1" s="1"/>
  <c r="CC181" i="1" a="1"/>
  <c r="CC181" i="1" s="1"/>
  <c r="CC183" i="1" a="1"/>
  <c r="CC183" i="1" s="1"/>
  <c r="CC184" i="1" a="1"/>
  <c r="CC184" i="1" s="1"/>
  <c r="CC185" i="1" a="1"/>
  <c r="CC185" i="1" s="1"/>
  <c r="CC188" i="1" a="1"/>
  <c r="CC188" i="1" s="1"/>
  <c r="CC189" i="1" a="1"/>
  <c r="CC189" i="1" s="1"/>
  <c r="CC190" i="1" a="1"/>
  <c r="CC190" i="1" s="1"/>
  <c r="CC191" i="1" a="1"/>
  <c r="CC191" i="1" s="1"/>
  <c r="CC192" i="1" a="1"/>
  <c r="CC192" i="1" s="1"/>
  <c r="CC194" i="1" a="1"/>
  <c r="CC194" i="1" s="1"/>
  <c r="CC195" i="1" a="1"/>
  <c r="CC195" i="1" s="1"/>
  <c r="CC197" i="1" a="1"/>
  <c r="CC197" i="1" s="1"/>
  <c r="CC200" i="1" a="1"/>
  <c r="CC200" i="1" s="1"/>
  <c r="CC201" i="1" a="1"/>
  <c r="CC201" i="1" s="1"/>
  <c r="CC203" i="1" a="1"/>
  <c r="CC203" i="1" s="1"/>
  <c r="CC205" i="1" a="1"/>
  <c r="CC205" i="1" s="1"/>
  <c r="CC207" i="1" a="1"/>
  <c r="CC207" i="1" s="1"/>
  <c r="CC208" i="1" a="1"/>
  <c r="CC208" i="1" s="1"/>
  <c r="CC209" i="1" a="1"/>
  <c r="CC209" i="1" s="1"/>
  <c r="CC211" i="1" a="1"/>
  <c r="CC211" i="1" s="1"/>
  <c r="CC212" i="1" a="1"/>
  <c r="CC212" i="1" s="1"/>
  <c r="CC215" i="1" a="1"/>
  <c r="CC215" i="1" s="1"/>
  <c r="CC216" i="1" a="1"/>
  <c r="CC216" i="1" s="1"/>
  <c r="CC217" i="1" a="1"/>
  <c r="CC217" i="1" s="1"/>
  <c r="CC218" i="1" a="1"/>
  <c r="CC218" i="1" s="1"/>
  <c r="CC219" i="1" a="1"/>
  <c r="CC219" i="1" s="1"/>
  <c r="CC220" i="1" a="1"/>
  <c r="CC220" i="1" s="1"/>
  <c r="CC221" i="1" a="1"/>
  <c r="CC221" i="1" s="1"/>
  <c r="CC222" i="1" a="1"/>
  <c r="CC222" i="1" s="1"/>
  <c r="CC223" i="1" a="1"/>
  <c r="CC223" i="1" s="1"/>
  <c r="CC224" i="1" a="1"/>
  <c r="CC224" i="1" s="1"/>
  <c r="CC225" i="1" a="1"/>
  <c r="CC225" i="1" s="1"/>
  <c r="CC227" i="1" a="1"/>
  <c r="CC227" i="1" s="1"/>
  <c r="CC228" i="1" a="1"/>
  <c r="CC228" i="1" s="1"/>
  <c r="CC229" i="1" a="1"/>
  <c r="CC229" i="1" s="1"/>
  <c r="CC230" i="1" a="1"/>
  <c r="CC230" i="1" s="1"/>
  <c r="CC231" i="1" a="1"/>
  <c r="CC231" i="1" s="1"/>
  <c r="CC232" i="1" a="1"/>
  <c r="CC232" i="1" s="1"/>
  <c r="CC4" i="1" a="1"/>
  <c r="CC4" i="1" s="1"/>
  <c r="CC5" i="1" a="1"/>
  <c r="CC5" i="1" s="1"/>
  <c r="CC6" i="1" a="1"/>
  <c r="CC6" i="1" s="1"/>
  <c r="CC7" i="1" a="1"/>
  <c r="CC7" i="1" s="1"/>
  <c r="CC8" i="1" a="1"/>
  <c r="CC8" i="1" s="1"/>
  <c r="CC9" i="1" a="1"/>
  <c r="CC9" i="1" s="1"/>
  <c r="CC3" i="1" a="1"/>
  <c r="CC3" i="1" s="1"/>
  <c r="BE234" i="1" l="1"/>
  <c r="D234" i="1"/>
  <c r="CC2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<sst xmlns="http://schemas.openxmlformats.org/spreadsheetml/2006/main" count="2480" uniqueCount="1061">
  <si>
    <t>City</t>
  </si>
  <si>
    <t>School</t>
  </si>
  <si>
    <t>Club Name</t>
  </si>
  <si>
    <t>Domains</t>
  </si>
  <si>
    <t>Acitivities</t>
  </si>
  <si>
    <t>Founded</t>
  </si>
  <si>
    <t>Last Active</t>
  </si>
  <si>
    <t>Notable Successes</t>
  </si>
  <si>
    <t>Aachen</t>
  </si>
  <si>
    <t>RWTH Aachen / FH Aachen</t>
  </si>
  <si>
    <t>Space Team Aachen</t>
  </si>
  <si>
    <t>Robotics</t>
  </si>
  <si>
    <t>ERC</t>
  </si>
  <si>
    <t>FH Aachen</t>
  </si>
  <si>
    <t>Space Science</t>
  </si>
  <si>
    <t>REXUS</t>
  </si>
  <si>
    <t>RWTH Aachen</t>
  </si>
  <si>
    <t>Augsburg</t>
  </si>
  <si>
    <t>Universität Augsburg</t>
  </si>
  <si>
    <t>(SLOSH)</t>
  </si>
  <si>
    <t>Berlin</t>
  </si>
  <si>
    <t>TU Berlin</t>
  </si>
  <si>
    <t>BEARS</t>
  </si>
  <si>
    <t>Robotics, Space Science</t>
  </si>
  <si>
    <t>ERC, REXUS</t>
  </si>
  <si>
    <t>Goldilocks</t>
  </si>
  <si>
    <t>Braunschweig / Clausthal</t>
  </si>
  <si>
    <t>TU Braunschweig / TU Clausthal</t>
  </si>
  <si>
    <t>ERIG x TUC Drillbotics x AKAMAV</t>
  </si>
  <si>
    <t>ERIG</t>
  </si>
  <si>
    <t>Bremen</t>
  </si>
  <si>
    <t>Universität Bremen</t>
  </si>
  <si>
    <t>Rocketry</t>
  </si>
  <si>
    <t>Darmstadt</t>
  </si>
  <si>
    <t>TU Darmstadt</t>
  </si>
  <si>
    <t>Cubesat</t>
  </si>
  <si>
    <t>ESA FYS</t>
  </si>
  <si>
    <t>Dresden</t>
  </si>
  <si>
    <t>TU Dresden</t>
  </si>
  <si>
    <t>STAR Dresden e.V.</t>
  </si>
  <si>
    <t>ERC, REXUS, BEXUS</t>
  </si>
  <si>
    <t>Duisburg / Essen</t>
  </si>
  <si>
    <t>University of Duisburg-Essen</t>
  </si>
  <si>
    <t>(IROCS)</t>
  </si>
  <si>
    <t>BEXUS</t>
  </si>
  <si>
    <t>Frankfurt</t>
  </si>
  <si>
    <t>FH Frankfurt</t>
  </si>
  <si>
    <t>FRoST</t>
  </si>
  <si>
    <t>Jena</t>
  </si>
  <si>
    <t>Ernst-Abbe University (EAH) Jena</t>
  </si>
  <si>
    <t>Kiel</t>
  </si>
  <si>
    <t>Universität Kiel</t>
  </si>
  <si>
    <t>Atmospheric Science, Space Science</t>
  </si>
  <si>
    <t>Munich</t>
  </si>
  <si>
    <t>TU München</t>
  </si>
  <si>
    <t>UniBW München</t>
  </si>
  <si>
    <t>Hochschule München</t>
  </si>
  <si>
    <t>Space Science, Space Engineering</t>
  </si>
  <si>
    <t>REXUS, BEXUS</t>
  </si>
  <si>
    <t>(SpiCy)</t>
  </si>
  <si>
    <t>Biology</t>
  </si>
  <si>
    <t>Nordhausen</t>
  </si>
  <si>
    <t>FH Nordhausen</t>
  </si>
  <si>
    <t>Atmospheric Science</t>
  </si>
  <si>
    <t>Schmalkalden</t>
  </si>
  <si>
    <t>Hochschule Schmalkalden</t>
  </si>
  <si>
    <t>HSM-ARIES</t>
  </si>
  <si>
    <t>Stuttgart</t>
  </si>
  <si>
    <t>Universität Stuttgart</t>
  </si>
  <si>
    <t>Space Science, Cubesat, Orbital Payloads</t>
  </si>
  <si>
    <t>Würzburg</t>
  </si>
  <si>
    <t>JMU</t>
  </si>
  <si>
    <t>WueSpace</t>
  </si>
  <si>
    <t>State</t>
  </si>
  <si>
    <t>Germany</t>
  </si>
  <si>
    <t>Beauvais</t>
  </si>
  <si>
    <t>ITII Picardie</t>
  </si>
  <si>
    <t>Paris (Saclay)</t>
  </si>
  <si>
    <t>École Polytechnique</t>
  </si>
  <si>
    <t>(DESTINY)</t>
  </si>
  <si>
    <t>Toulouse</t>
  </si>
  <si>
    <t>ISAE-SUPAERO</t>
  </si>
  <si>
    <t>SupaeroMoon</t>
  </si>
  <si>
    <t>Robotics, UAV</t>
  </si>
  <si>
    <t xml:space="preserve">ERC, MDRS, </t>
  </si>
  <si>
    <t>SDS</t>
  </si>
  <si>
    <t>UAV</t>
  </si>
  <si>
    <t>Tolosat</t>
  </si>
  <si>
    <t>Club MARS / MDRS</t>
  </si>
  <si>
    <t>Human Spaceflight</t>
  </si>
  <si>
    <t>SCUBE</t>
  </si>
  <si>
    <t>(MORE)</t>
  </si>
  <si>
    <t>IPSA</t>
  </si>
  <si>
    <t>AEROIPSA</t>
  </si>
  <si>
    <t>C'Space</t>
  </si>
  <si>
    <t>IPSA ONE</t>
  </si>
  <si>
    <t>I-TECH</t>
  </si>
  <si>
    <t>IPL</t>
  </si>
  <si>
    <t>PERSEUS</t>
  </si>
  <si>
    <t>France</t>
  </si>
  <si>
    <t>Barcelona</t>
  </si>
  <si>
    <t>UPC</t>
  </si>
  <si>
    <t>UPC Space Program</t>
  </si>
  <si>
    <t>Castelló de la Plana</t>
  </si>
  <si>
    <t>Universitat Jaume Primer</t>
  </si>
  <si>
    <t>UJI Robotics Team</t>
  </si>
  <si>
    <t>Coimbra</t>
  </si>
  <si>
    <t>University of Coimbra</t>
  </si>
  <si>
    <t>Madrid</t>
  </si>
  <si>
    <t>Universidad Politécnica de Madrid</t>
  </si>
  <si>
    <t>(HERCCULES)</t>
  </si>
  <si>
    <t>Space Engineering</t>
  </si>
  <si>
    <t>Oviedo</t>
  </si>
  <si>
    <t>Universidad de Oviedo</t>
  </si>
  <si>
    <t>4Space</t>
  </si>
  <si>
    <t>Porto</t>
  </si>
  <si>
    <t>University of Porto</t>
  </si>
  <si>
    <t>(SPAN)</t>
  </si>
  <si>
    <t>(SMART)</t>
  </si>
  <si>
    <t>Spain</t>
  </si>
  <si>
    <t>Bologna</t>
  </si>
  <si>
    <t>Università degli Studi di Bologna Alma Mater Studiorum</t>
  </si>
  <si>
    <t>Milan</t>
  </si>
  <si>
    <t>Modena</t>
  </si>
  <si>
    <t>University of Modena and Reggio Emilia</t>
  </si>
  <si>
    <t>ProjectRED</t>
  </si>
  <si>
    <t>Padova</t>
  </si>
  <si>
    <t>Università di Padova</t>
  </si>
  <si>
    <t>Morpheus</t>
  </si>
  <si>
    <t>Rome</t>
  </si>
  <si>
    <t>Sapienza, Università di Roma</t>
  </si>
  <si>
    <t>Sapienza Technology Team</t>
  </si>
  <si>
    <t>(LEDSAT)</t>
  </si>
  <si>
    <t>Turin</t>
  </si>
  <si>
    <t>Politecnico di Torino</t>
  </si>
  <si>
    <t>DIANA</t>
  </si>
  <si>
    <t>Italy</t>
  </si>
  <si>
    <t>Groningen</t>
  </si>
  <si>
    <t>University of Groningen (Rijksuniversiteit Groningen) / Hanze University of Applied Sciences</t>
  </si>
  <si>
    <t>Makercie</t>
  </si>
  <si>
    <t>Eindhoven / Nijmegen</t>
  </si>
  <si>
    <t>Radboud University Nijmegen and Eindhoven University of Technology</t>
  </si>
  <si>
    <t>(PR4) (PR3)</t>
  </si>
  <si>
    <t>Delft</t>
  </si>
  <si>
    <t>TU Delft</t>
  </si>
  <si>
    <t>Leuven</t>
  </si>
  <si>
    <t>KU Leuven</t>
  </si>
  <si>
    <t>(FLORENCE)</t>
  </si>
  <si>
    <t>Netherlands</t>
  </si>
  <si>
    <t>Belgium</t>
  </si>
  <si>
    <t>Lausanne</t>
  </si>
  <si>
    <t>EPFL</t>
  </si>
  <si>
    <t>EPFL Xplore</t>
  </si>
  <si>
    <t>Winner 2025 ERC</t>
  </si>
  <si>
    <t>Basel</t>
  </si>
  <si>
    <t>FHNW</t>
  </si>
  <si>
    <t>FHNW Rover Team</t>
  </si>
  <si>
    <t>Genf</t>
  </si>
  <si>
    <t>HES-SO</t>
  </si>
  <si>
    <t>Graz</t>
  </si>
  <si>
    <t>TU Graz</t>
  </si>
  <si>
    <t>ASTG</t>
  </si>
  <si>
    <t>EUROC</t>
  </si>
  <si>
    <t>Zurich</t>
  </si>
  <si>
    <t>ETH Zurich, ZHAW, UZH, HSLU, ZhdK</t>
  </si>
  <si>
    <t>ARIS</t>
  </si>
  <si>
    <t>Rocketry, Robotics, Cubesat, Space Engineering</t>
  </si>
  <si>
    <t>Switzerland</t>
  </si>
  <si>
    <t>Austria</t>
  </si>
  <si>
    <t>Bialystok</t>
  </si>
  <si>
    <t>Politechnika Częstochowska</t>
  </si>
  <si>
    <t>PCz Rover Team</t>
  </si>
  <si>
    <t>Gdansk</t>
  </si>
  <si>
    <t>Gdańsk University of Technology</t>
  </si>
  <si>
    <t>Space Science, Biology</t>
  </si>
  <si>
    <t>Gliwice</t>
  </si>
  <si>
    <t>Politechnika Śląska</t>
  </si>
  <si>
    <t>Space Coffee</t>
  </si>
  <si>
    <t>Silesian Phoenix</t>
  </si>
  <si>
    <t>Kielce</t>
  </si>
  <si>
    <t>Kielce University of Technology - Politechnika Świętokrzyska</t>
  </si>
  <si>
    <t>IMPULS</t>
  </si>
  <si>
    <t>Fupla</t>
  </si>
  <si>
    <t>Krakow</t>
  </si>
  <si>
    <t>AGH University of Krakow</t>
  </si>
  <si>
    <t>AGH Space Systems</t>
  </si>
  <si>
    <t>Lunar Technologies AGH</t>
  </si>
  <si>
    <t>Lunar Lander</t>
  </si>
  <si>
    <t>AstroPK</t>
  </si>
  <si>
    <t>Krosno</t>
  </si>
  <si>
    <t>Karpacka Uczelnia Państwowa w Krośnie</t>
  </si>
  <si>
    <t>Lodz</t>
  </si>
  <si>
    <t>Politechnika Łódzka</t>
  </si>
  <si>
    <t>Team Raptors PL</t>
  </si>
  <si>
    <t>Lublin University of Technology, Politechnika Lubelska</t>
  </si>
  <si>
    <t>Opole</t>
  </si>
  <si>
    <t>Politechnika Opolska | Opole University of technology</t>
  </si>
  <si>
    <t>NewTechHorizon</t>
  </si>
  <si>
    <t>Poznan</t>
  </si>
  <si>
    <t>Poznań University of Technology</t>
  </si>
  <si>
    <t>PUTLunarTeam</t>
  </si>
  <si>
    <t>Rzeszów</t>
  </si>
  <si>
    <t>Politechnika Rzeszowska im. Ignacego Łukasiewicza</t>
  </si>
  <si>
    <t>Legendary Rover</t>
  </si>
  <si>
    <t>Szczecin</t>
  </si>
  <si>
    <t>Zachodniopomorski Uniwersytet Technologiczny w Szczecinie</t>
  </si>
  <si>
    <t>SKNM</t>
  </si>
  <si>
    <t>Warsaw</t>
  </si>
  <si>
    <t>Politechnika Warszawska - Warsaw University of Technology</t>
  </si>
  <si>
    <t xml:space="preserve">Koło Naukowe Bekker Team </t>
  </si>
  <si>
    <t>University of Warsaw</t>
  </si>
  <si>
    <t>UW Crows</t>
  </si>
  <si>
    <t>KNR Rover Team</t>
  </si>
  <si>
    <t>Wroclaw</t>
  </si>
  <si>
    <t>Wrocław University of Science and Technology, Politechnika Wrocławska</t>
  </si>
  <si>
    <t>KoNaR</t>
  </si>
  <si>
    <t>Projekt Scorpio</t>
  </si>
  <si>
    <t>Poland</t>
  </si>
  <si>
    <t>Aalborg</t>
  </si>
  <si>
    <t>Aalborg Universitet</t>
  </si>
  <si>
    <t>AAU Space Robotics</t>
  </si>
  <si>
    <t>Aalto University /  University of Turku</t>
  </si>
  <si>
    <t>Luleå</t>
  </si>
  <si>
    <t>Luleå University of Technology</t>
  </si>
  <si>
    <t>University of Southern Denmark</t>
  </si>
  <si>
    <t>(HEIMDAL)</t>
  </si>
  <si>
    <t>Stockholm</t>
  </si>
  <si>
    <t>KTH</t>
  </si>
  <si>
    <t>Aesir</t>
  </si>
  <si>
    <t>Tromsø</t>
  </si>
  <si>
    <t>UiT The Arctic University of Norway</t>
  </si>
  <si>
    <t>(RaPTeX)</t>
  </si>
  <si>
    <t>Denmark</t>
  </si>
  <si>
    <t>Finland</t>
  </si>
  <si>
    <t>Sweden</t>
  </si>
  <si>
    <t>Norway</t>
  </si>
  <si>
    <t>Brno</t>
  </si>
  <si>
    <t>Brno University of Technology (Vysoké učení technické v Brně)</t>
  </si>
  <si>
    <t>BrnoMarsRover</t>
  </si>
  <si>
    <t>Budapest</t>
  </si>
  <si>
    <t>Budapest University of Technology and Economics</t>
  </si>
  <si>
    <t>Obuda University</t>
  </si>
  <si>
    <t>OURover</t>
  </si>
  <si>
    <t>Ostrava</t>
  </si>
  <si>
    <t>VŠB - Technická univerzita Ostrava</t>
  </si>
  <si>
    <t>RoverOva</t>
  </si>
  <si>
    <t>Prague</t>
  </si>
  <si>
    <t>CTU in Prague</t>
  </si>
  <si>
    <t>CTU Robotics</t>
  </si>
  <si>
    <t>Czechia</t>
  </si>
  <si>
    <t>Hungary</t>
  </si>
  <si>
    <t>Bath</t>
  </si>
  <si>
    <t>University of Bath</t>
  </si>
  <si>
    <t>Birmingham</t>
  </si>
  <si>
    <t>University of Birmingham</t>
  </si>
  <si>
    <t>(PIOneERS)</t>
  </si>
  <si>
    <t>Cranfield</t>
  </si>
  <si>
    <t>Cranfield University</t>
  </si>
  <si>
    <t>(BoB)</t>
  </si>
  <si>
    <t>Dublin</t>
  </si>
  <si>
    <t>University College Dublin</t>
  </si>
  <si>
    <t>London</t>
  </si>
  <si>
    <t>Imperial College London</t>
  </si>
  <si>
    <t>IPRL</t>
  </si>
  <si>
    <t>University College London</t>
  </si>
  <si>
    <t xml:space="preserve">UCL Rover </t>
  </si>
  <si>
    <t>Sheffield</t>
  </si>
  <si>
    <t>The University of Sheffield</t>
  </si>
  <si>
    <t>MarsWorks</t>
  </si>
  <si>
    <t>Strathclyde</t>
  </si>
  <si>
    <t>University of Strathclyde</t>
  </si>
  <si>
    <t>RoboClyde</t>
  </si>
  <si>
    <t>UK</t>
  </si>
  <si>
    <t>Ireland</t>
  </si>
  <si>
    <t>Athens</t>
  </si>
  <si>
    <t>National Technical University of Athens, University of Patras</t>
  </si>
  <si>
    <t>Beyond Robotics</t>
  </si>
  <si>
    <t>(FINIX-1)</t>
  </si>
  <si>
    <t>Belgrade</t>
  </si>
  <si>
    <t>Argo</t>
  </si>
  <si>
    <t>Bucharest</t>
  </si>
  <si>
    <t>University Politehnica of Bucharest</t>
  </si>
  <si>
    <t>Cluj-Napoca</t>
  </si>
  <si>
    <t>TU Cluj-Napoca</t>
  </si>
  <si>
    <t>Shobolinsky</t>
  </si>
  <si>
    <t>Projekt RIVER 1</t>
  </si>
  <si>
    <t>Thessaloniki</t>
  </si>
  <si>
    <t>Aristotle University of Thessaloniki</t>
  </si>
  <si>
    <t>ASAT</t>
  </si>
  <si>
    <t>Kozani</t>
  </si>
  <si>
    <t>UOWM</t>
  </si>
  <si>
    <t>ASPiRE</t>
  </si>
  <si>
    <t>Greece</t>
  </si>
  <si>
    <t>Serbia</t>
  </si>
  <si>
    <t>Romania</t>
  </si>
  <si>
    <t>REXUS/BEXUS (Launch)</t>
  </si>
  <si>
    <t>Überflieger (Selection - Launch)</t>
  </si>
  <si>
    <t>ESA FYS (selection - launch)</t>
  </si>
  <si>
    <t>ESA Academy Exp.</t>
  </si>
  <si>
    <t>Website</t>
  </si>
  <si>
    <t>Media</t>
  </si>
  <si>
    <t>Twitter</t>
  </si>
  <si>
    <t>Facebook</t>
  </si>
  <si>
    <t>Instagram</t>
  </si>
  <si>
    <t>Linkedin</t>
  </si>
  <si>
    <t>x</t>
  </si>
  <si>
    <t>Portugal</t>
  </si>
  <si>
    <t>Valencia</t>
  </si>
  <si>
    <t>Polytechnic University of Valencia</t>
  </si>
  <si>
    <t>TARS ROBOTICS</t>
  </si>
  <si>
    <t>https://www.tarsupv.com/</t>
  </si>
  <si>
    <t>https://x.com/Tars_UPV</t>
  </si>
  <si>
    <t>https://www.linkedin.com/company/105258034/admin/dashboard/</t>
  </si>
  <si>
    <t>https://www.instagram.com/tars.upv</t>
  </si>
  <si>
    <t>https://www.linkedin.com/company/aau-space-robotics</t>
  </si>
  <si>
    <t>https://www.bears-space.de/</t>
  </si>
  <si>
    <t>https://www.linkedin.com/company/bears-ev/</t>
  </si>
  <si>
    <t>https://www.instagram.com/bears.space/</t>
  </si>
  <si>
    <t>https://frost-rover.com/</t>
  </si>
  <si>
    <t>https://www.linkedin.com/company/frankfurt-robotics-science-team/</t>
  </si>
  <si>
    <t>https://www.instagram.com/frost_fra_uas/</t>
  </si>
  <si>
    <t>https://www.star-dresden.de/</t>
  </si>
  <si>
    <t>https://www.linkedin.com/company/star-dresden/</t>
  </si>
  <si>
    <t>https://www.instagram.com/star_dresden/</t>
  </si>
  <si>
    <t>https://warr.de/</t>
  </si>
  <si>
    <t>https://x.com/warr_robotics</t>
  </si>
  <si>
    <t>https://de.linkedin.com/company/warrtum</t>
  </si>
  <si>
    <t>https://www.instagram.com/warr.robotics/</t>
  </si>
  <si>
    <t>https://www.beyond-orbit.org/</t>
  </si>
  <si>
    <t>https://www.linkedin.com/company/beyond-orbit</t>
  </si>
  <si>
    <t>https://www.instagram.com/beyond_robotics/</t>
  </si>
  <si>
    <t>https://www.teamdiana.it/</t>
  </si>
  <si>
    <t>https://x.com/DIANA_space</t>
  </si>
  <si>
    <t>https://www.linkedin.com/school/teamdiana/</t>
  </si>
  <si>
    <t>https://www.instagram.com/team_diana_polito/</t>
  </si>
  <si>
    <t>https://projectred.it/</t>
  </si>
  <si>
    <t>https://www.linkedin.com/company/projectred-unimore/</t>
  </si>
  <si>
    <t>https://www.instagram.com/project_red_dismi/</t>
  </si>
  <si>
    <t>https://spacesystems.agh.edu.pl/</t>
  </si>
  <si>
    <t>https://www.linkedin.com/company/agh-space-systems/</t>
  </si>
  <si>
    <t>https://www.instagram.com/aghspacesystems/</t>
  </si>
  <si>
    <t>https://knr.edu.pl/</t>
  </si>
  <si>
    <t>https://www.linkedin.com/company/knr-pw</t>
  </si>
  <si>
    <t>https://www.instagram.com/knr_pw/</t>
  </si>
  <si>
    <t>https://ska.pw.edu.pl/</t>
  </si>
  <si>
    <t>https://pl.linkedin.com/company/skapw</t>
  </si>
  <si>
    <t>https://www.instagram.com/ska_pw/</t>
  </si>
  <si>
    <t>https://raptors.p.lodz.pl/</t>
  </si>
  <si>
    <t>https://x.com/pl_raptors</t>
  </si>
  <si>
    <t>https://pl.linkedin.com/company/raptorspl</t>
  </si>
  <si>
    <t>https://www.instagram.com/pl_raptors</t>
  </si>
  <si>
    <t>https://4space.es/</t>
  </si>
  <si>
    <t>https://x.com/4SpaceUniovi</t>
  </si>
  <si>
    <t>https://www.linkedin.com/company/4spaceuniovi</t>
  </si>
  <si>
    <t>https://www.instagram.com/4space.uniovi/</t>
  </si>
  <si>
    <t>https://www.upcprogram.space/</t>
  </si>
  <si>
    <t>https://x.com/UPCSpaceProgram</t>
  </si>
  <si>
    <t>https://www.linkedin.com/company/upc-space-program/posts/?feedView=all</t>
  </si>
  <si>
    <t>https://www.instagram.com/upcspaceprogram/</t>
  </si>
  <si>
    <t>https://www.linkedin.com/company/epfl-xplore</t>
  </si>
  <si>
    <t>https://www.instagram.com/epfl_xplore/</t>
  </si>
  <si>
    <t>https://www.linkedin.com/company/imperial-planetary-robotics-lab</t>
  </si>
  <si>
    <t>https://www.instagram.com/icrobotics/</t>
  </si>
  <si>
    <t>https://brnomarsrover.cz/</t>
  </si>
  <si>
    <t>https://www.linkedin.com/company/brnomarsrover</t>
  </si>
  <si>
    <t>https://www.instagram.com/brnomarsrover</t>
  </si>
  <si>
    <t>https://www.sasa-aerospace.it/tech-team/</t>
  </si>
  <si>
    <t>https://it.linkedin.com/company/sapienza-technology-team</t>
  </si>
  <si>
    <t>https://www.instagram.com/sapienza_technology_team/</t>
  </si>
  <si>
    <t>https://www.facebook.com/orion.pollub</t>
  </si>
  <si>
    <t>https://www.instagram.com/projekt.orion/</t>
  </si>
  <si>
    <t>https://www.fhnw.ch/rover</t>
  </si>
  <si>
    <t>https://www.linkedin.com/company/fhnw-rover-team</t>
  </si>
  <si>
    <t>https://www.instagram.com/fhnw.rover/</t>
  </si>
  <si>
    <t>https://cturobotics.cz/</t>
  </si>
  <si>
    <t>https://www.linkedin.com/company/ctu-robotics/</t>
  </si>
  <si>
    <t>https://www.instagram.com/cturobotics/</t>
  </si>
  <si>
    <t>https://supaeromoon.wordpress.com/</t>
  </si>
  <si>
    <t>https://www.linkedin.com/company/supaeromoon/</t>
  </si>
  <si>
    <t>https://www.instagram.com/supaeromoon/</t>
  </si>
  <si>
    <t>https://er-ig.de/</t>
  </si>
  <si>
    <t>https://de.linkedin.com/company/er-ig</t>
  </si>
  <si>
    <t>https://www.instagram.com/erig1999/</t>
  </si>
  <si>
    <t>https://www.instagram.com/aries_space?igsh=M2Z3aHloZTA0ZXVs</t>
  </si>
  <si>
    <t>https://www.spaceteamaachen.de/projects/rover</t>
  </si>
  <si>
    <t>https://de.linkedin.com/company/space-team-aachen</t>
  </si>
  <si>
    <t>https://www.instagram.com/spaceteamaachen/</t>
  </si>
  <si>
    <t>https://spacelab.uni-obuda.hu/ourover-team/</t>
  </si>
  <si>
    <t>https://www.instagram.com/astropkrk/</t>
  </si>
  <si>
    <t>https://www.facebook.com/BekkerTeam/</t>
  </si>
  <si>
    <t>https://konar.pwr.edu.pl/project/nomad</t>
  </si>
  <si>
    <t>https://pl.linkedin.com/company/knrkonar</t>
  </si>
  <si>
    <t>https://www.instagram.com/konar_robotics/</t>
  </si>
  <si>
    <t>https://mikroprocek.pl/</t>
  </si>
  <si>
    <t>https://x.com/NewTechHorizon</t>
  </si>
  <si>
    <t>https://www.linkedin.com/in/newtech-horizon-88281b355/</t>
  </si>
  <si>
    <t>https://www.instagram.com/newtechhorizon/?igsh=c2p5NXZ5dDJiNXh4#</t>
  </si>
  <si>
    <t>https://www.instagram.com/pb_rover_team?igsh=MnI2djJtb3FrMDFh</t>
  </si>
  <si>
    <t>https://www.scorpio.pwr.edu.pl/en/main-page/</t>
  </si>
  <si>
    <t>https://www.linkedin.com/company/projekt-scorpio/</t>
  </si>
  <si>
    <t>https://www.instagram.com/ProjektScorpio</t>
  </si>
  <si>
    <t>https://www.instagram.com/kra_uw/</t>
  </si>
  <si>
    <t>https://shobolinsky.com/</t>
  </si>
  <si>
    <t>https://www.linkedin.com/company/shobolinsky/</t>
  </si>
  <si>
    <t>https://www.instagram.com/shobolinsky/</t>
  </si>
  <si>
    <t>https://argorobotics.rs/</t>
  </si>
  <si>
    <t>https://www.x.com/ArgoSRT</t>
  </si>
  <si>
    <t>https://www.linkedin.com/company/argo-srt/</t>
  </si>
  <si>
    <t>https://www.instagram.com/argo_srt/</t>
  </si>
  <si>
    <t>https://ujiroboticsteam.wixsite.com/uji-robotics-team</t>
  </si>
  <si>
    <t>https://www.linkedin.com/company/uji-robotics-team/</t>
  </si>
  <si>
    <t>https://www.gearsnl.com/</t>
  </si>
  <si>
    <t>https://www.linkedin.com/company/makercie-rug/about/</t>
  </si>
  <si>
    <t>https://www.instagram.com/makercie_team/</t>
  </si>
  <si>
    <t>https://www.linkedin.com/company/team-bath-roving/</t>
  </si>
  <si>
    <t>https://www.instagram.com/teambathroving/</t>
  </si>
  <si>
    <t>UKSEDS Olympus Rover Trials</t>
  </si>
  <si>
    <t>https://mechspace.notion.site/University-College-London-Racing-Teams-1309d1a93412405f87f42cfaaf9094bc?p=3ab2151b96aa45739a61f4cbfb0ada04&amp;pm=c</t>
  </si>
  <si>
    <t>https://www.linkedin.com/company/uclracing/posts/?feedView=all</t>
  </si>
  <si>
    <t>https://www.instagram.com/uclracing/</t>
  </si>
  <si>
    <t>https://polispace.it/rovertech-team/</t>
  </si>
  <si>
    <t>https://it.linkedin.com/company/polispacepolimi</t>
  </si>
  <si>
    <t>https://www.instagram.com/polispacepolimi/</t>
  </si>
  <si>
    <t>https://epflxplore.github.io/Website/</t>
  </si>
  <si>
    <t>Cubesats (independent)</t>
  </si>
  <si>
    <t>https://spacerobotics.es.aau.dk/</t>
  </si>
  <si>
    <t>https://www.facebook.com/profile.php?id=61567039387988</t>
  </si>
  <si>
    <t>https://www.linkedin.com/company/kn-cybair/?originalSubdomain=pl</t>
  </si>
  <si>
    <t>Novi Sad</t>
  </si>
  <si>
    <t>Faculty of Techical Sciences in Novi Sad</t>
  </si>
  <si>
    <t>Nspace</t>
  </si>
  <si>
    <t>https://www.linkedin.com/in/nspace-team</t>
  </si>
  <si>
    <t>https://www.instagram.com/nspace_team/</t>
  </si>
  <si>
    <t>Balloons (independent)</t>
  </si>
  <si>
    <t>CanSats (independent)</t>
  </si>
  <si>
    <t>Rockets (other)</t>
  </si>
  <si>
    <t>Robots (other)</t>
  </si>
  <si>
    <t>ELTE</t>
  </si>
  <si>
    <t>ELTE StudentTechLab</t>
  </si>
  <si>
    <t>https://stl.inf.elte.hu/</t>
  </si>
  <si>
    <t>https://www.instagram.com/stl_elte/?igsh=MTd6Nm14cGFmZWx1Ng%3D%3D#</t>
  </si>
  <si>
    <t>https://spacecoffee.net/news/mper-at-the-projekt-politechnika-conference/</t>
  </si>
  <si>
    <t>https://www.linkedin.com/company/skn-spacecoffee/</t>
  </si>
  <si>
    <t>https://www.facebook.com/profile.php?id=61553521377963</t>
  </si>
  <si>
    <t>https://rover.pcz.pl/</t>
  </si>
  <si>
    <t>https://www.facebook.com/pczroverteam</t>
  </si>
  <si>
    <t>https://www.linkedin.com/company/74904835</t>
  </si>
  <si>
    <t>https://www.instagram.com/pczroverteam/</t>
  </si>
  <si>
    <t>https://legendaryrover.win/</t>
  </si>
  <si>
    <t>https://www.linkedin.com/company/legendary-rover-team</t>
  </si>
  <si>
    <t>https://www.instagram.com/legendaryrzeszow/</t>
  </si>
  <si>
    <t>https://www.river.rospin.org/</t>
  </si>
  <si>
    <t>https://www.linkedin.com/company/project-river/</t>
  </si>
  <si>
    <t>https://www.instagram.com/river.erc.rover/</t>
  </si>
  <si>
    <t>http://rover.vsb.cz/</t>
  </si>
  <si>
    <t>https://twitter.com/team_roverova</t>
  </si>
  <si>
    <t>https://www.instagram.com/team_roverova</t>
  </si>
  <si>
    <t>https://www.linkedin.com/company/erc-orion-project/</t>
  </si>
  <si>
    <t>http://goldilocks.bstsrhberlin.com/</t>
  </si>
  <si>
    <t>https://www.facebook.com/marsroverkielce</t>
  </si>
  <si>
    <t>https://www.instagram.com/morpheusunipd/</t>
  </si>
  <si>
    <t>https://sknaimeth.polsl.pl/silesian-phoenix/</t>
  </si>
  <si>
    <t>https://www.linkedin.com/company/skn-ai-meth/</t>
  </si>
  <si>
    <t>https://instagram.com/silesianphoenix</t>
  </si>
  <si>
    <t>https://www.facebook.com/groups/554383733468485</t>
  </si>
  <si>
    <t>https://fupla.tu.kielce.pl/</t>
  </si>
  <si>
    <t>https://www.facebook.com/MarsRoverFUMAR</t>
  </si>
  <si>
    <t>https://fr.linkedin.com/in/edge-rover-8a027b234</t>
  </si>
  <si>
    <t>https://instagram.com/egderover</t>
  </si>
  <si>
    <t>Lithuania</t>
  </si>
  <si>
    <t>Klaipeda</t>
  </si>
  <si>
    <t>Klaipeda University</t>
  </si>
  <si>
    <t>Harokopio University of Athens</t>
  </si>
  <si>
    <t>TU Braunschweig</t>
  </si>
  <si>
    <t>Braunschweig</t>
  </si>
  <si>
    <t>Luxembourg</t>
  </si>
  <si>
    <t>University of Luxembourg</t>
  </si>
  <si>
    <t>Alma-X Rover Team</t>
  </si>
  <si>
    <t>Manchester</t>
  </si>
  <si>
    <t>University of Manchester</t>
  </si>
  <si>
    <t>PUCRA UPC</t>
  </si>
  <si>
    <t>Continuum</t>
  </si>
  <si>
    <t>Szczecin / Opole</t>
  </si>
  <si>
    <t>Zachodniopomorski Uniwersytet Technologiczny w Szczecinie / Politechnika Opolska | Opole University of technology</t>
  </si>
  <si>
    <t>SKORP</t>
  </si>
  <si>
    <t>University of Warsaw Rover Team</t>
  </si>
  <si>
    <t>Clever Kameleon / Kameleon</t>
  </si>
  <si>
    <t>https://www.cubesatpolito.com/</t>
  </si>
  <si>
    <t>(GOLIAT)</t>
  </si>
  <si>
    <t>https://www.esa.int/Education/Meet_the_teams_Goliat</t>
  </si>
  <si>
    <t>(Masat-1)</t>
  </si>
  <si>
    <t>https://www.esa.int/Education/Meet_the_teams_Masat-1</t>
  </si>
  <si>
    <t>Montpellier</t>
  </si>
  <si>
    <t>Université Montpellier 2 (UM2)</t>
  </si>
  <si>
    <t>https://csum.umontpellier.fr</t>
  </si>
  <si>
    <t>(UniCubeSat-GG)</t>
  </si>
  <si>
    <t>https://www.esa.int/Education/Meet_the_teams_UniCubeSat-GG</t>
  </si>
  <si>
    <t>Vigo</t>
  </si>
  <si>
    <t>University of Vigo</t>
  </si>
  <si>
    <t>(XATCOBEO)</t>
  </si>
  <si>
    <t>https://www.xatcobeo.com/</t>
  </si>
  <si>
    <t>(HumSat-D)</t>
  </si>
  <si>
    <t>https://com.uvigo.es/en/research/satellites/</t>
  </si>
  <si>
    <t>AAU Student Space</t>
  </si>
  <si>
    <t>https://www.en.space.aau.dk/about-aau-space</t>
  </si>
  <si>
    <t>Liège</t>
  </si>
  <si>
    <t>Université de Liège</t>
  </si>
  <si>
    <t>(OUFTI-1)</t>
  </si>
  <si>
    <t>(POLITECH-1)</t>
  </si>
  <si>
    <t>https://www.iteam.upv.es/project/diseno-integracion-verificacion-lanzamiento-y-operaciones-de-un-cubesat-para-aplicaciones-de-astrofisica-y-observacion-de-la-tierra-politech-1/</t>
  </si>
  <si>
    <t>https://upcommons.upc.edu/server/api/core/bitstreams/3370a1fc-eb0e-4906-bfdf-4a5c813e7b1d/content</t>
  </si>
  <si>
    <t>https://web.nanosatlab.space/</t>
  </si>
  <si>
    <t>https://www.eirsat1.ie/</t>
  </si>
  <si>
    <t>https://www.facebook.com/EIRSAT1/</t>
  </si>
  <si>
    <t>https://twitter.com/eirsat1</t>
  </si>
  <si>
    <t>https://www.instagram.com/eirsat1/</t>
  </si>
  <si>
    <t>STERN</t>
  </si>
  <si>
    <t>Narvik</t>
  </si>
  <si>
    <t>POLARIX UIT</t>
  </si>
  <si>
    <t xml:space="preserve">https://www.instagram.com/polarix_uit </t>
  </si>
  <si>
    <t xml:space="preserve">https://www.linkedin.com/company/polarix-uit </t>
  </si>
  <si>
    <t>https://polarixuit.no/</t>
  </si>
  <si>
    <t>https://raptex.wordpress.com/</t>
  </si>
  <si>
    <t>https://www.hs-nordhausen.de/en/research-project/bexus-aresonus-2/</t>
  </si>
  <si>
    <t>https://www.instagram.com/bexus.aresonus/</t>
  </si>
  <si>
    <t>(SPACIS)</t>
  </si>
  <si>
    <t>(SBGA)</t>
  </si>
  <si>
    <t>https://www.asg.ed.tum.de/iapg/bexus/</t>
  </si>
  <si>
    <t>(SARIA)</t>
  </si>
  <si>
    <t>(DROPSTAR) (SHADE)</t>
  </si>
  <si>
    <t>(CHAOS) (FaNS) (TANOS)</t>
  </si>
  <si>
    <t>xx</t>
  </si>
  <si>
    <t>Uppsala</t>
  </si>
  <si>
    <t>Uppsala University</t>
  </si>
  <si>
    <t>(LODESTAR)</t>
  </si>
  <si>
    <t>Hasselt</t>
  </si>
  <si>
    <t>Hasselt University</t>
  </si>
  <si>
    <t>(ARESONUS) (ELFI) (IMUFUSION)</t>
  </si>
  <si>
    <t>Hamburg</t>
  </si>
  <si>
    <t>TU Hamburg</t>
  </si>
  <si>
    <t>(HAMBURG)</t>
  </si>
  <si>
    <t>(O-Zone) (DREX)</t>
  </si>
  <si>
    <t>(OSCAR-QLITE) (OSCAR)</t>
  </si>
  <si>
    <t>(PREDATOR)</t>
  </si>
  <si>
    <t>University of Rome Tor Vergata</t>
  </si>
  <si>
    <t>(NEMESYS)</t>
  </si>
  <si>
    <t>Bilbao</t>
  </si>
  <si>
    <t>University of the Basque Country (EHU)</t>
  </si>
  <si>
    <t>EHUSpace</t>
  </si>
  <si>
    <t>https://www.ehu.eus/ehusfera/azotea/2016/02/13/ehuspace-hasta-el-infinito-y-mas-alla/</t>
  </si>
  <si>
    <t>https://x.com/ehuspace</t>
  </si>
  <si>
    <t xml:space="preserve">https://www.facebook.com/ehuspace/ </t>
  </si>
  <si>
    <t>(SIGNON)</t>
  </si>
  <si>
    <t>WARR</t>
  </si>
  <si>
    <t>Sevilla</t>
  </si>
  <si>
    <t>Universidad de Sevilla</t>
  </si>
  <si>
    <t>(SPADE)</t>
  </si>
  <si>
    <t>Antwerp</t>
  </si>
  <si>
    <t>University of Antwerp</t>
  </si>
  <si>
    <t>(HACORD)</t>
  </si>
  <si>
    <t>(COSPA)</t>
  </si>
  <si>
    <t>(CPT-SCOPE)</t>
  </si>
  <si>
    <t>TU Berlin / FU Berlin / Beuth HfT Berlin</t>
  </si>
  <si>
    <t>(PERSIS) (MASS) (AIMIS)</t>
  </si>
  <si>
    <t>(TUPEX-6)</t>
  </si>
  <si>
    <t>xxx</t>
  </si>
  <si>
    <t>(HERMESS) (FLOMESS)</t>
  </si>
  <si>
    <t>(HADES) (HERMES) (ARES II)</t>
  </si>
  <si>
    <t>Wuppertal</t>
  </si>
  <si>
    <t>Universität Wuppertal</t>
  </si>
  <si>
    <t>Pisa</t>
  </si>
  <si>
    <t>University of Pisa</t>
  </si>
  <si>
    <t xml:space="preserve">https://www.facebook.com/wuespace/ </t>
  </si>
  <si>
    <t>https://www.linkedin.com/company/wuespace/</t>
  </si>
  <si>
    <t>https://www.instagram.com/wuespace/?hl=fr</t>
  </si>
  <si>
    <t>https://wuespace.de/</t>
  </si>
  <si>
    <t>(LOTUS-D) (InTex) (DIANE)</t>
  </si>
  <si>
    <t>Project Names</t>
  </si>
  <si>
    <t>-</t>
  </si>
  <si>
    <t>https://www.facebook.com/ub.space.rexus/</t>
  </si>
  <si>
    <t>(FENRIR) (ALMA) (R2C2) (IRISC) (TUBULAR) (IRIS) (EXIST) (BESPIN) (SALACIA)</t>
  </si>
  <si>
    <t>(FORAREX) (UB-SPACE) (UB-FIRE)</t>
  </si>
  <si>
    <t>University of Strathclyde / University of Birmingham</t>
  </si>
  <si>
    <t>Strathclyde / Birmingham</t>
  </si>
  <si>
    <t>(PICARD)</t>
  </si>
  <si>
    <t>Luzern</t>
  </si>
  <si>
    <t> Lucerne University of Applied Sciences and Arts</t>
  </si>
  <si>
    <t>(CEMIOS)</t>
  </si>
  <si>
    <t>(CADMUS) (BOILUS)</t>
  </si>
  <si>
    <t>(RaCoS) (PATHOS)</t>
  </si>
  <si>
    <t>https://imfex.space/</t>
  </si>
  <si>
    <t>(ACTOR)</t>
  </si>
  <si>
    <t>(U-PHOS) (PHOS)</t>
  </si>
  <si>
    <t>(TELLER) (REM-RED)</t>
  </si>
  <si>
    <t>Warwick</t>
  </si>
  <si>
    <t>University of Warwick</t>
  </si>
  <si>
    <t>(WUSAT-SOLSPEC)</t>
  </si>
  <si>
    <t>Satellites</t>
  </si>
  <si>
    <t>(LICOD)</t>
  </si>
  <si>
    <t>https://ksat-stuttgart.de/en/</t>
  </si>
  <si>
    <t>https://www.facebook.com/bxcospa/</t>
  </si>
  <si>
    <t>https://tu-dresden.de/ing/maschinenwesen/ilr/rfs/studentische-projekte/index</t>
  </si>
  <si>
    <t>http://instagram.com/warr.tum</t>
  </si>
  <si>
    <t>https://www.linkedin.com/company/11814768</t>
  </si>
  <si>
    <t>https://www.facebook.com/warr.tum/</t>
  </si>
  <si>
    <t>https://twitter.com/warr_tum</t>
  </si>
  <si>
    <t>https://www.facebook.com/projectspade/</t>
  </si>
  <si>
    <t>https://www.facebook.com/projectphos/</t>
  </si>
  <si>
    <t>https://www.facebook.com/bexushacord/photos/</t>
  </si>
  <si>
    <t>https://www.instagram.com/projectfrede/</t>
  </si>
  <si>
    <t>https://www.facebook.com/ProjectFrede/</t>
  </si>
  <si>
    <t>https://www.kthaero.com/about</t>
  </si>
  <si>
    <t>KTHAero</t>
  </si>
  <si>
    <t xml:space="preserve">(BOOMERANG) (B2D2) </t>
  </si>
  <si>
    <t>(PRIME) (WOLF) (SLED) (SCRAP)</t>
  </si>
  <si>
    <t>https://www.ltu.se/en/research/research-areas/space/student-projects</t>
  </si>
  <si>
    <t>(CPT-SCOPE) (NUTS)</t>
  </si>
  <si>
    <t>Norwegian University of Science and Technology (NTNU)</t>
  </si>
  <si>
    <t>Trondheim</t>
  </si>
  <si>
    <t>Orbit NTNU</t>
  </si>
  <si>
    <t>https://orbitntnu.com/</t>
  </si>
  <si>
    <t>https://www.instagram.com/orbitntnu/</t>
  </si>
  <si>
    <t>https://www.linkedin.com/company/orbit-ntnu</t>
  </si>
  <si>
    <t>https://www.facebook.com/OrbitNTNU/</t>
  </si>
  <si>
    <t>https://teller.bme.hu/</t>
  </si>
  <si>
    <t>https://www.facebook.com/project.teller.rexus/</t>
  </si>
  <si>
    <t>https://www.instagram.com/tellerrexus/</t>
  </si>
  <si>
    <t>https://warwick.ac.uk/fac/sci/eng/meng/wusat/</t>
  </si>
  <si>
    <t>WUSAT</t>
  </si>
  <si>
    <t>https://uk.linkedin.com/company/wusat-warwick</t>
  </si>
  <si>
    <t>https://www.facebook.com/WarwickUniversitySatellite/</t>
  </si>
  <si>
    <t>Vespe Jena e.V.</t>
  </si>
  <si>
    <t>https://vespe-jena.de/</t>
  </si>
  <si>
    <t>https://www.instagram.com/</t>
  </si>
  <si>
    <t>https://www.facebook.com/</t>
  </si>
  <si>
    <t>https://twitter.com/</t>
  </si>
  <si>
    <t xml:space="preserve">(GAMEon) </t>
  </si>
  <si>
    <t>(GAME) (LiME)</t>
  </si>
  <si>
    <t>https://enginyeriafisica.etsetb.upc.edu/ca/noticies/estudiants-del-grau-en-enginyeria-fisica-experimenten-amb-muons-a-lestratosfera</t>
  </si>
  <si>
    <t>https://www.facebook.com/signonexperiment/</t>
  </si>
  <si>
    <t>(s5lab)</t>
  </si>
  <si>
    <t>(STRATONAV) (TARDIS) (ROMULUS) (RETINA)</t>
  </si>
  <si>
    <t>(GAUSS) (UNISAT)</t>
  </si>
  <si>
    <t>OSCAR / OSCAR-QUBE</t>
  </si>
  <si>
    <t>https://be.linkedin.com/company/oscarproject</t>
  </si>
  <si>
    <t>https://www.hslu.ch/en/lucerne-university-of-applied-sciences-and-arts/research/projects/detail/?pid=3384</t>
  </si>
  <si>
    <t>https://www.facebook.com/REXUSBEXUS-Predator-Team-664531340317192/</t>
  </si>
  <si>
    <t>StrathSEDS</t>
  </si>
  <si>
    <t>https://strathseds.org/</t>
  </si>
  <si>
    <t>https://www.facebook.com/StrathSEDS/</t>
  </si>
  <si>
    <t>https://www.instagram.com/StrathSEDS/</t>
  </si>
  <si>
    <t>https://www.linkedin.com/company/strathseds/</t>
  </si>
  <si>
    <t>(AtmoHIT)</t>
  </si>
  <si>
    <t>https://de.linkedin.com/in/atmohitrexus</t>
  </si>
  <si>
    <t>https://www.facebook.com/ozoneteampd/</t>
  </si>
  <si>
    <t>https://www.facebook.com/nemesysbexusproject/</t>
  </si>
  <si>
    <t>PWRinSpace</t>
  </si>
  <si>
    <t>(FREDE2015) (TRACZ) (DREAM)</t>
  </si>
  <si>
    <t>SUNBYTE</t>
  </si>
  <si>
    <t>https://sheffield.ac.uk/sunbyte</t>
  </si>
  <si>
    <t>https://uk.linkedin.com/company/projectsunbyte</t>
  </si>
  <si>
    <t>https://www.instagram.com/projectsunbyte/?hl=fr</t>
  </si>
  <si>
    <t>https://www.informatik.uni-wuerzburg.de/en/raumfahrttechnik/studentische-aktivitaeten/rexus-bexus/</t>
  </si>
  <si>
    <t>https://www.facebook.com/Lodestar-BEXUS-Project-2031787173527972/</t>
  </si>
  <si>
    <t>https://morerexus.wordpress.com/sponsorship/</t>
  </si>
  <si>
    <t>https://www.facebook.com/rexusMore/</t>
  </si>
  <si>
    <t>https://www.facebook.com/viperrexus/</t>
  </si>
  <si>
    <t>https://www.instagram.com/micro__moon/</t>
  </si>
  <si>
    <t>https://de.linkedin.com/company/micromoon</t>
  </si>
  <si>
    <t>(WHB) (VIPER)</t>
  </si>
  <si>
    <t>(TRACE) (IMFEX) (µMoon)</t>
  </si>
  <si>
    <t>https://www.facebook.com/blackbox2RX27/</t>
  </si>
  <si>
    <t>https://www.tu.berlin/en/raumfahrttechnik/research/past-projects/until-2009</t>
  </si>
  <si>
    <t>https://www.instagram.com/tupex7/</t>
  </si>
  <si>
    <t>https://www.bexus.org/</t>
  </si>
  <si>
    <t>https://www.linkedin.com/company/chaos-bexus</t>
  </si>
  <si>
    <t>https://www.instagram.com/chaos.bexus</t>
  </si>
  <si>
    <t>https://www.facebook.com/chaos.bexus</t>
  </si>
  <si>
    <t>(BEXUS Projects of Kiel University)</t>
  </si>
  <si>
    <t>https://www.facebook.com/people/REXUS-FLOMESS/100080374551470/</t>
  </si>
  <si>
    <t>https://www.uni-due.de/physik/irocs/team.php</t>
  </si>
  <si>
    <t>https://www.instagram.com/irocs.bexus/</t>
  </si>
  <si>
    <t>https://www.facebook.com/irocs.bexus/</t>
  </si>
  <si>
    <t>https://destiny.binets.fr/</t>
  </si>
  <si>
    <t>https://www.facebook.com/Destiny-Project-254660291873036/</t>
  </si>
  <si>
    <t>https://centrespatial-polytechnique.fr/</t>
  </si>
  <si>
    <t>https://fr.linkedin.com/company/centre-spatial-de-l-cole-polytechnique</t>
  </si>
  <si>
    <t>https://develop.pr4.space/</t>
  </si>
  <si>
    <t>https://www.facebook.com/PR4space/</t>
  </si>
  <si>
    <t>https://www.instagram.com/pr4_space/</t>
  </si>
  <si>
    <t>https://www.linkedin.com/company/pr4-space</t>
  </si>
  <si>
    <t>PR4 Space</t>
  </si>
  <si>
    <t>https://www.hesge.ch/hepia/recherche-developpement/projets-recherche/termine/ares-ii</t>
  </si>
  <si>
    <t>https://www.facebook.com/ARESteam.rexus/</t>
  </si>
  <si>
    <t>SimLE</t>
  </si>
  <si>
    <t xml:space="preserve">(HEDGEHOG) </t>
  </si>
  <si>
    <t>(STARDUST) (STORMDUST)</t>
  </si>
  <si>
    <t>https://simle.pl/main#about</t>
  </si>
  <si>
    <t>https://www.facebook.com/SimLEpl</t>
  </si>
  <si>
    <t>https://www.instagram.com/simle.pg?utm_source=ig_web_button_share_sheet&amp;igsh=ZDNlZDc0MzIxNw==</t>
  </si>
  <si>
    <t>https://pl.linkedin.com/company/simle</t>
  </si>
  <si>
    <t>https://www.facebook.com/HEDGEHOG.REXUS.Project/</t>
  </si>
  <si>
    <t>https://beamproject.gr</t>
  </si>
  <si>
    <t>BEAM</t>
  </si>
  <si>
    <t>https://www.facebook.com/beamauth</t>
  </si>
  <si>
    <t>https://www.instagram.com/beamauth/</t>
  </si>
  <si>
    <t>https://gr.linkedin.com/company/beam-beyond-earth-aritotle-missions</t>
  </si>
  <si>
    <t>https://asat.gr/</t>
  </si>
  <si>
    <t>SpaceDot</t>
  </si>
  <si>
    <t>(AcubeSAT)</t>
  </si>
  <si>
    <t>https://spacedot.gr/</t>
  </si>
  <si>
    <t>https://www.facebook.com/spacedot.auth</t>
  </si>
  <si>
    <t>https://www.instagram.com/spacedot.auth/</t>
  </si>
  <si>
    <t>https://www.linkedin.com/company/spacedot</t>
  </si>
  <si>
    <t>https://twitter.com/spacedot_auth</t>
  </si>
  <si>
    <t>(Space Lab)</t>
  </si>
  <si>
    <t>https://de.linkedin.com/company/project-persis</t>
  </si>
  <si>
    <t>https://www.instagram.com/persis.munich/</t>
  </si>
  <si>
    <t>https://www.mass-bexus.eu/about</t>
  </si>
  <si>
    <t>(STRATOSPOLCA)</t>
  </si>
  <si>
    <t>https://bexus-saria.gitlab.io/</t>
  </si>
  <si>
    <t>(SPEAR) (SHEAR) (Da Vinci) (DARE)</t>
  </si>
  <si>
    <t>DARE</t>
  </si>
  <si>
    <t>https://dare.tudelft.nl/</t>
  </si>
  <si>
    <t>https://twitter.com/daretudelft</t>
  </si>
  <si>
    <t>https://www.facebook.com/daretudelft/</t>
  </si>
  <si>
    <t>https://www.instagram.com/daretudelft</t>
  </si>
  <si>
    <t>https://www.linkedin.com/company/delft-aerospace-rocket-engineering</t>
  </si>
  <si>
    <t>https://www.mech.kuleuven.be/en/tme/research/hmt/Florence_REXUS</t>
  </si>
  <si>
    <t>https://blogs.upm.es/herccules/wp-content/uploads/sites/979/2022/01/HERCCULES_BEXUS_MainPresentation.pdf</t>
  </si>
  <si>
    <t>https://www.instagram.com/spacis.bexus/</t>
  </si>
  <si>
    <t>https://www.facebook.com/SKA.PW/</t>
  </si>
  <si>
    <t>https://www.facebook.com/people/Raptex/100063789030082/</t>
  </si>
  <si>
    <t>https://www.instagram.com/raptexuit/</t>
  </si>
  <si>
    <t>(ROSPIN)</t>
  </si>
  <si>
    <t>https://rospin.org/</t>
  </si>
  <si>
    <t>https://spicybexus.de/2024/07/06/spicy-x-lmus-faculty-of-biology/</t>
  </si>
  <si>
    <t>https://de.linkedin.com/company/spicybexus</t>
  </si>
  <si>
    <t>https://www.instagram.com/p/C7hpm5HsFQK/1-this-post-explains-our-project-clarifying-what-smart-is-all-about-and-sharing-/</t>
  </si>
  <si>
    <t>DISCOSAT</t>
  </si>
  <si>
    <t>https://www.instagram.com/discosat/?hl=fr</t>
  </si>
  <si>
    <t>https://www.linkedin.com/company/danish-student-cubesat-program</t>
  </si>
  <si>
    <t>https://discosat.dk/</t>
  </si>
  <si>
    <t>https://uk.linkedin.com/company/project-svarog-icl</t>
  </si>
  <si>
    <t>https://www.instagram.com/project_svarog/</t>
  </si>
  <si>
    <t>Project Svarog</t>
  </si>
  <si>
    <t>https://www.instagram.com/p/DHG8mvIo3Ym/</t>
  </si>
  <si>
    <t>https://www.facebook.com/auxspace/posts/team-slosh-got-accepted-for-the-rexus-program-were-so-excited-for-the-upcoming-1/349384191178691/</t>
  </si>
  <si>
    <t>Auxspace e.V.</t>
  </si>
  <si>
    <t>https://auxspace.de/</t>
  </si>
  <si>
    <t>https://de.linkedin.com/company/auxspace-ev?trk=public_post_feed-actor-name</t>
  </si>
  <si>
    <t>RXBX</t>
  </si>
  <si>
    <t>KSat</t>
  </si>
  <si>
    <t>Cranfield University / University of Exeter</t>
  </si>
  <si>
    <t>University of Belgrade, Univerzitet u Beogradu</t>
  </si>
  <si>
    <t>LMU / TU München / Hochschule München</t>
  </si>
  <si>
    <t>SRH University of Applied Sciences / Berlin School of Technology / BSBI University</t>
  </si>
  <si>
    <t>Politecnico of Milan, Politecnico di Milano</t>
  </si>
  <si>
    <t>Cracow University of Technology, Politechnika Krakowska im. Tadeusza Kościuszki</t>
  </si>
  <si>
    <t>Bialystok University of Technology, Politechnika Białostocka</t>
  </si>
  <si>
    <t>SKA</t>
  </si>
  <si>
    <t>ERC_TOTAL</t>
  </si>
  <si>
    <t>all</t>
  </si>
  <si>
    <t>WARRYZN Space Robotics</t>
  </si>
  <si>
    <t>Orion Team / MicroChip</t>
  </si>
  <si>
    <t>Team Bath Roving / Bath Space Society</t>
  </si>
  <si>
    <t>Winner 2021 ERC</t>
  </si>
  <si>
    <t>Winner 2024 ERC</t>
  </si>
  <si>
    <t>Winner 2023 ERC</t>
  </si>
  <si>
    <t>X</t>
  </si>
  <si>
    <t>(Celesta)</t>
  </si>
  <si>
    <t xml:space="preserve"> CubeSat Team PoliTO</t>
  </si>
  <si>
    <t>(E-ST@R) ( E-ST@R II)</t>
  </si>
  <si>
    <t>(CURiE) (TOTORO) (LUSTRO) (BuLMA 2015) (PW-Sat)</t>
  </si>
  <si>
    <t>(University of Vigo’s Alen Space) (Instituto Nacional de Tecnica Aerospacial (INTA))</t>
  </si>
  <si>
    <t>(UVIGO)</t>
  </si>
  <si>
    <t>(HiNCube)</t>
  </si>
  <si>
    <t>https://digitalcommons.usu.edu/cgi/viewcontent.cgi?referer=&amp;httpsredir=1&amp;article=1433&amp;context=smallsat</t>
  </si>
  <si>
    <t>(ANSAT)</t>
  </si>
  <si>
    <t>https://www.academia.edu/17038639/Educational_Benefits_and_Challenges_for_the_Norwegian_Student_Satellite_Program</t>
  </si>
  <si>
    <t>(SwissCube 2)</t>
  </si>
  <si>
    <t>not launched</t>
  </si>
  <si>
    <t>Trieste</t>
  </si>
  <si>
    <t>https://arts.units.it/handle/11368/2339512</t>
  </si>
  <si>
    <t>University of Trieste</t>
  </si>
  <si>
    <t>(AtmoCube)</t>
  </si>
  <si>
    <t>(Department of Physics, the Department of Indus- trial Engineering and Information Technology of the University of Trieste, INAF, INFN, and Math- itech.) (GAUSS)</t>
  </si>
  <si>
    <t>https://www.reflexions.uliege.be/cms/c_15320/en/we-have-lift-off-oufti</t>
  </si>
  <si>
    <t xml:space="preserve">(Robusta) </t>
  </si>
  <si>
    <t>(CSUM)</t>
  </si>
  <si>
    <t>(Centre Spatial Polytechnique (CSEP))</t>
  </si>
  <si>
    <t>(Robusta 1B)</t>
  </si>
  <si>
    <t>https://kt.cern/aerospace/celesta</t>
  </si>
  <si>
    <t>(CSUM) (CERN)</t>
  </si>
  <si>
    <t>Université Montpellier 2 (UM2) / CERN</t>
  </si>
  <si>
    <t>France / Switzerland</t>
  </si>
  <si>
    <t>Montpellier / Geneve</t>
  </si>
  <si>
    <t>(Polytechnic University of Valencia) (EMXYS )</t>
  </si>
  <si>
    <t>https://indico.ific.uv.es/event/7358/contributions/22707/attachments/11865/16759/Francisco_Garcia_ODALISS_ASFAE_2024.pdf</t>
  </si>
  <si>
    <t>https://www.emxys.com/showarticle-55</t>
  </si>
  <si>
    <t>https://phd.uniroma1.it/web/ledsat-a-new-satellite-by-our-department-has-been-launched_nA887EN_EN.aspx</t>
  </si>
  <si>
    <t>(Department of Mechanical and Aerospace Engineering) (s5lab)</t>
  </si>
  <si>
    <t>(EIRSAT-1)</t>
  </si>
  <si>
    <t>Lisbon</t>
  </si>
  <si>
    <t>IST Lisbon</t>
  </si>
  <si>
    <t>(ISTSAT-1)</t>
  </si>
  <si>
    <t>https://istsat-one.tecnico.ulisboa.pt/~istsat-one.daemon/</t>
  </si>
  <si>
    <t>https://twitter.com/istsat_one</t>
  </si>
  <si>
    <t>https://www.facebook.com/istsatone</t>
  </si>
  <si>
    <t>https://www.instagram.com/istsat_one/</t>
  </si>
  <si>
    <t>https://www.linkedin.com/company/ist-nanosatlab</t>
  </si>
  <si>
    <t>(IST NanosatLab)</t>
  </si>
  <si>
    <t>(UPC NanoSatLab)</t>
  </si>
  <si>
    <t>Southampton</t>
  </si>
  <si>
    <t>University of Southampton</t>
  </si>
  <si>
    <t>https://www.facebook.com/UoSSmallSatellite/</t>
  </si>
  <si>
    <t>https://generic.wordpress.soton.ac.uk/uos3/</t>
  </si>
  <si>
    <t>https://uosdesign.org/designshow2020/project/uos-small-satellite/</t>
  </si>
  <si>
    <t>(UOS3)</t>
  </si>
  <si>
    <t>Cadiz</t>
  </si>
  <si>
    <t xml:space="preserve">https://ucanfly.uca.es/ </t>
  </si>
  <si>
    <t>Universidad de Cádiz</t>
  </si>
  <si>
    <t>(UCanFly)</t>
  </si>
  <si>
    <t>https://www.instagram.com/ujirobotics?igsh=MXVrcHNuZzY0MnZlOQ==https://www.instagram.com/ucanfly_cadiz/?hl=es</t>
  </si>
  <si>
    <t>https://www.instagram.com/ucanfly_cadiz/?hl=es</t>
  </si>
  <si>
    <t>https://twitter.com/UCAnFly_ES</t>
  </si>
  <si>
    <t>https://es.linkedin.com/company/ucanfly</t>
  </si>
  <si>
    <t>(SOURCE)</t>
  </si>
  <si>
    <t>(3CAT-4) (PoCat-LEKTRON)</t>
  </si>
  <si>
    <t>J2050</t>
  </si>
  <si>
    <t xml:space="preserve"> (Red Pill)</t>
  </si>
  <si>
    <t>(UWE-4)</t>
  </si>
  <si>
    <t>(Uni) (ZfT)</t>
  </si>
  <si>
    <t>https://www.instagram.com/AaltoSatellites/</t>
  </si>
  <si>
    <t>https://fi.linkedin.com/company/aalto-satellites</t>
  </si>
  <si>
    <t>https://www.aalto.fi/en/spacecraft</t>
  </si>
  <si>
    <t>(Aalto Satellites)</t>
  </si>
  <si>
    <t>(Aalto-1) (Aalto-3)</t>
  </si>
  <si>
    <t>(AAUSAT-4) (AAUSAT-5)</t>
  </si>
  <si>
    <t>ESA_FYS_TOTAL</t>
  </si>
  <si>
    <t>Høgskolen i Narvik (HiN)</t>
  </si>
  <si>
    <t>not launched; project restarted  independently 2022</t>
  </si>
  <si>
    <t>(FramSat-1) (SelfieSat)  (FramSat-1.5)</t>
  </si>
  <si>
    <t>Bristol</t>
  </si>
  <si>
    <t>University of Bristol</t>
  </si>
  <si>
    <t>https://uobsat.uk/</t>
  </si>
  <si>
    <t>UoBSAT</t>
  </si>
  <si>
    <t>https://www.instagram.com/uobsatelliteteam/</t>
  </si>
  <si>
    <t>https://www.linkedin.com/company/prove-pathfinder/</t>
  </si>
  <si>
    <t>(UoBSAT)</t>
  </si>
  <si>
    <t>Hochschule Bremen (HSB)</t>
  </si>
  <si>
    <t>(BLACKBOX II) (AQUASONIC) (VIBES)</t>
  </si>
  <si>
    <t>https://www.hs-bremen.de/en/research/research-and-transfer-profile/research-project/visionary-ingenuity-boosting-european-spacecraft-microvibration-management-system/</t>
  </si>
  <si>
    <t>https://www.instagram.com/j2050_space/</t>
  </si>
  <si>
    <t>https://it.linkedin.com/company/j2050-new-epoch-technologies</t>
  </si>
  <si>
    <t>https://stem.elearning.unipd.it/course/view.php?id=5488</t>
  </si>
  <si>
    <t>(AlbaCubesat / AlbaSat)</t>
  </si>
  <si>
    <t>https://www.research.unipd.it/handle/11577/3514855</t>
  </si>
  <si>
    <t>https://www.instagram.com/albacubesat/</t>
  </si>
  <si>
    <t>https://be.linkedin.com/company/alba-cubesat-unipd</t>
  </si>
  <si>
    <t>Universidad Carlos III de Madrid</t>
  </si>
  <si>
    <t>(ST3LLARsat1 BOIRA)</t>
  </si>
  <si>
    <t>https://jcuvac.ucm.es/ESH-CURSO-ESPACIO-2025/PDFs/Leccion4.Andres_Marcos.Parte2.pdf</t>
  </si>
  <si>
    <t>https://aero.uc3m.es/2024/08/29/uc3m-st3llarsat1-boira-arrives-to-esa-fys-dbs-final-design-review-fdr/</t>
  </si>
  <si>
    <t>(SAGE)</t>
  </si>
  <si>
    <t>https://aris-space.ch</t>
  </si>
  <si>
    <t>https://www.instagram.com/aris.space/</t>
  </si>
  <si>
    <t>https://www.linkedin.com/company/aris_eth/</t>
  </si>
  <si>
    <t>polispace</t>
  </si>
  <si>
    <t>([R]overTech) (6S)</t>
  </si>
  <si>
    <t>UVigo SpaceLab</t>
  </si>
  <si>
    <t>(BIXO)</t>
  </si>
  <si>
    <t>https://uvigospacelab.space</t>
  </si>
  <si>
    <t>https://www.linkedin.com/company/uvigospacelab</t>
  </si>
  <si>
    <t>https://www.instagram.com/uvigospacelab/reels/</t>
  </si>
  <si>
    <t>https://www.facebook.com/uvigospacelab/</t>
  </si>
  <si>
    <t>spanish only</t>
  </si>
  <si>
    <t>(SOLDERx) (ECRIDA) (ROSPIN-SAT-1)</t>
  </si>
  <si>
    <t>Aalto / Turku</t>
  </si>
  <si>
    <t>Lublin</t>
  </si>
  <si>
    <t>Cranfield / Exeter</t>
  </si>
  <si>
    <t>Odense</t>
  </si>
  <si>
    <t>(BIRD)</t>
  </si>
  <si>
    <t>https://robotik.dfki-bremen.de/fileadmin/content/ric/teaching/thoro/Projektblatt_RIC_Uni.pdf</t>
  </si>
  <si>
    <t>(Team Thoro)</t>
  </si>
  <si>
    <t>https://hsmaries.space/</t>
  </si>
  <si>
    <t>https://www.linkedin.com/company/aries-space</t>
  </si>
  <si>
    <t>(ORION Project)</t>
  </si>
  <si>
    <t>(EDGEROVER)</t>
  </si>
  <si>
    <t>(Rover ITII)</t>
  </si>
  <si>
    <t>https://www.itii-picardie.fr/litii-picardie/innovation-itii/</t>
  </si>
  <si>
    <t>https://pucra.upc.edu/</t>
  </si>
  <si>
    <t>https://www.instagram.com/pucra.upc/</t>
  </si>
  <si>
    <t>https://www.linkedin.com/company/pucra-upcc/</t>
  </si>
  <si>
    <t>https://www.instagram.com/almax.rover/</t>
  </si>
  <si>
    <t>https://it.linkedin.com/company/alma-x</t>
  </si>
  <si>
    <t>https://stem.elearning.unipd.it/enrol/index.php?id=5486</t>
  </si>
  <si>
    <t>(Morpheus)</t>
  </si>
  <si>
    <t>https://www.facebook.com/morpheusteam/</t>
  </si>
  <si>
    <t>(ISM Luxembourg)</t>
  </si>
  <si>
    <t>https://www.facebook.com/roverteampb/</t>
  </si>
  <si>
    <t>(PB Rover Team)</t>
  </si>
  <si>
    <t>https://wm.pb.edu.pl/knr/</t>
  </si>
  <si>
    <t>Koło Naukowe Robotyków PB</t>
  </si>
  <si>
    <t>https://astropk.pl/#rover</t>
  </si>
  <si>
    <t>https://www.facebook.com/astrokrk</t>
  </si>
  <si>
    <t>(AGH Dynamics)</t>
  </si>
  <si>
    <t>(Vdesign)</t>
  </si>
  <si>
    <t>No online presence</t>
  </si>
  <si>
    <t>https://www.facebook.com/cleverkameleon/</t>
  </si>
  <si>
    <t>https://www.rls.si/eng/news/kameleon/</t>
  </si>
  <si>
    <t>https://skorp.zut.edu.pl</t>
  </si>
  <si>
    <t>https://pl.linkedin.com/company/studenckie-ko%C5%82o-naukowe-robotyki-praktycznej-skorp</t>
  </si>
  <si>
    <t>https://sknm.zut.edu.pl/</t>
  </si>
  <si>
    <t>https://www.facebook.com/uwroverteam/</t>
  </si>
  <si>
    <t>https://www.facebook.com/ContinuumUWr/</t>
  </si>
  <si>
    <t>(KlpUniTakesChallenge)</t>
  </si>
  <si>
    <t>https://cranseds.co.uk/</t>
  </si>
  <si>
    <t>(Cranfield Rover Team)</t>
  </si>
  <si>
    <t>CranSEDS</t>
  </si>
  <si>
    <t>https://www.linkedin.com/company/cranseds</t>
  </si>
  <si>
    <t>https://www.instagram.com/cranseds</t>
  </si>
  <si>
    <t>(Manphestus)</t>
  </si>
  <si>
    <t>https://marsworks.sites.sheffield.ac.uk/</t>
  </si>
  <si>
    <t>https://uk.linkedin.com/company/project-marsworks</t>
  </si>
  <si>
    <t>https://www.instagram.com/project_marsworks/</t>
  </si>
  <si>
    <t>https://www.facebook.com/ProjectMarsWorks/</t>
  </si>
  <si>
    <t>https://www.instagram.com/roboclyde_/</t>
  </si>
  <si>
    <t>https://www.facebook.com/RoboClyde/</t>
  </si>
  <si>
    <t>https://www.instagram.com/hive_hua/</t>
  </si>
  <si>
    <t>(HIVE – Harokopio InnoVation and Enginnering)</t>
  </si>
  <si>
    <t>https://nspace.team/</t>
  </si>
  <si>
    <t>o</t>
  </si>
  <si>
    <t>oX</t>
  </si>
  <si>
    <t>Copenhagen</t>
  </si>
  <si>
    <t>Technical University of Denmark</t>
  </si>
  <si>
    <t>https://danstar.dk</t>
  </si>
  <si>
    <t>https://www.facebook.com/DanSTAR.DTU/</t>
  </si>
  <si>
    <t>https://www.instagram.com/danstardtu/</t>
  </si>
  <si>
    <t>https://www.linkedin.com/company/danstar</t>
  </si>
  <si>
    <t>DanStar</t>
  </si>
  <si>
    <t>Ivry-sur-Seine</t>
  </si>
  <si>
    <t>ESIEA</t>
  </si>
  <si>
    <t>Air ESIEA</t>
  </si>
  <si>
    <t>https://www.esiea.fr/associations/airesiea/</t>
  </si>
  <si>
    <t>Vienna</t>
  </si>
  <si>
    <t>TU Wien</t>
  </si>
  <si>
    <t>TU Wien Space Team</t>
  </si>
  <si>
    <t>(The Hound)</t>
  </si>
  <si>
    <t>https://spaceteam.at</t>
  </si>
  <si>
    <t>https://www.facebook.com/tuspaceteam/</t>
  </si>
  <si>
    <t>https://www.instagram.com/tuwienspaceteam</t>
  </si>
  <si>
    <t>https://www.linkedin.com/company/18342719</t>
  </si>
  <si>
    <t>Bisky</t>
  </si>
  <si>
    <t>https://www.facebook.com/biskyteam</t>
  </si>
  <si>
    <t>https://www.biskyteam.com/en/homepage/</t>
  </si>
  <si>
    <t>https://www.instagram.com/bisky_team/</t>
  </si>
  <si>
    <t>https://cosmicresearch.org</t>
  </si>
  <si>
    <t>Cosmic Research</t>
  </si>
  <si>
    <t>http://instagram.com/cosmicresearch/</t>
  </si>
  <si>
    <t>https://www.facebook.com/CosmicResearch/</t>
  </si>
  <si>
    <t>http://www.linkedin.com/company/cosmicresearch/</t>
  </si>
  <si>
    <t>AeroTec RED</t>
  </si>
  <si>
    <t>https://red.aerotec.pt</t>
  </si>
  <si>
    <t>https://www.linkedin.com/company/rocketexperimentdivision</t>
  </si>
  <si>
    <t>https://www.instagram.com/aerotec.red</t>
  </si>
  <si>
    <t>(Tarvos)</t>
  </si>
  <si>
    <t>https://www.facebook.com/ieeeupsb/posts/o-tarvos-esteve-no-euroc-parte-22de-11-a-17-de-outubro-o-tarvos-marcou-presen%C3%A7a-/4547465748669014/</t>
  </si>
  <si>
    <t>https://noticias.up.pt/2020/12/08/estudantes-da-feup-criam-rocket-que-desafia-limites-dos-ceus/</t>
  </si>
  <si>
    <t>CheroAvias</t>
  </si>
  <si>
    <t>UBI</t>
  </si>
  <si>
    <t>https://www.facebook.com/cheroavias/</t>
  </si>
  <si>
    <t>https://astg.at/</t>
  </si>
  <si>
    <t>https://www.facebook.com/aerospaceteamgraz/</t>
  </si>
  <si>
    <t>https://www.instagram.com/aerospaceteamgrazofficial/</t>
  </si>
  <si>
    <t>https://www.linkedin.com/company/aerospace-team-graz</t>
  </si>
  <si>
    <t>EPFL Rocket Team</t>
  </si>
  <si>
    <t>https://epflrocketteam.ch/</t>
  </si>
  <si>
    <t>Propulse NTNU</t>
  </si>
  <si>
    <t>2Space</t>
  </si>
  <si>
    <t>https://students.2space.ro</t>
  </si>
  <si>
    <t>ICL Rocketry</t>
  </si>
  <si>
    <t>https://imperialrocketry.com/</t>
  </si>
  <si>
    <t>Edinburgh</t>
  </si>
  <si>
    <t>The University of Edinburgh</t>
  </si>
  <si>
    <t>Endeavour</t>
  </si>
  <si>
    <t>https://www.endeavourockets.com/</t>
  </si>
  <si>
    <t>(PoliWRocket )</t>
  </si>
  <si>
    <t>https://skywarder.eu/</t>
  </si>
  <si>
    <t>SkywardER</t>
  </si>
  <si>
    <t>Courbevoie</t>
  </si>
  <si>
    <t>Pôle universitaire Léonard-de-Vinci</t>
  </si>
  <si>
    <t>LéoFly</t>
  </si>
  <si>
    <t>https://www.leofly.fr</t>
  </si>
  <si>
    <t>BME Suborbitals</t>
  </si>
  <si>
    <t>https://suborbitals.bme.hu/en/</t>
  </si>
  <si>
    <t>Faraday Rocketry UPV</t>
  </si>
  <si>
    <t>https://www.upv.es/entidades/adge/en/faraday-rocketry-upv-2/</t>
  </si>
  <si>
    <t>https://www.instagram.com/faradayupv/?hl=es</t>
  </si>
  <si>
    <t>https://www.linkedin.com/company/77967436</t>
  </si>
  <si>
    <t>Bath Rocket Team</t>
  </si>
  <si>
    <t>HyEnd</t>
  </si>
  <si>
    <t>https://hyend.de/</t>
  </si>
  <si>
    <t>BME Aerospace</t>
  </si>
  <si>
    <t>https://bmeaerospace.hu</t>
  </si>
  <si>
    <t>STAR UC3M</t>
  </si>
  <si>
    <t>https://staruc3m.com/</t>
  </si>
  <si>
    <t>https://es.linkedin.com/company/star-uc3m</t>
  </si>
  <si>
    <t>CTU Space Research</t>
  </si>
  <si>
    <t>https://spaceresearch.cvut.cz/en/</t>
  </si>
  <si>
    <t>PUT Rocketlab</t>
  </si>
  <si>
    <t>https://rocketlab.pl/</t>
  </si>
  <si>
    <t>https://www.instagram.com/putrocketlab/</t>
  </si>
  <si>
    <t>https://pl.linkedin.com/company/putrocketlab</t>
  </si>
  <si>
    <t>PoliTo Rocket Team</t>
  </si>
  <si>
    <t>https://www.politorocketteam.it/</t>
  </si>
  <si>
    <t>https://www.astra-bremen.de/projects</t>
  </si>
  <si>
    <t>Universität Bremen / Hochschule Bremen (HSB)</t>
  </si>
  <si>
    <t>ASTRA Bremen e. V.</t>
  </si>
  <si>
    <t>https://www.aesir.se/</t>
  </si>
  <si>
    <t>https://bristolseds.co.uk/hypower-bristol/</t>
  </si>
  <si>
    <t>BristolSEDS</t>
  </si>
  <si>
    <t>(Hypower Bristol)</t>
  </si>
  <si>
    <t>Nottingham</t>
  </si>
  <si>
    <t>Universit of Nottingham</t>
  </si>
  <si>
    <t>Space Society</t>
  </si>
  <si>
    <t>(INROS)</t>
  </si>
  <si>
    <t>https://www.nottingham.ac.uk/aerospace/space/student-space-programme/space-society/index.aspx</t>
  </si>
  <si>
    <t>https://uk.linkedin.com/company/uon-space-society</t>
  </si>
  <si>
    <t>Limerick</t>
  </si>
  <si>
    <t>University of Limerick</t>
  </si>
  <si>
    <t>https://www.ulas-hipr.ie/</t>
  </si>
  <si>
    <t>ULAS HiPR</t>
  </si>
  <si>
    <t>Kongsberg</t>
  </si>
  <si>
    <t>University of South-Eastern Norway</t>
  </si>
  <si>
    <t>USN Horizon</t>
  </si>
  <si>
    <t>https://usnhorizon.no/</t>
  </si>
  <si>
    <t>Ignite UIT</t>
  </si>
  <si>
    <t>https://igniteuit.no/</t>
  </si>
  <si>
    <t>https://www.propulse.no/</t>
  </si>
  <si>
    <t>ALS Rocketry Club ARC</t>
  </si>
  <si>
    <t>https://the-arc.dk</t>
  </si>
  <si>
    <t>https://www.leemupm.com/</t>
  </si>
  <si>
    <t>LEEM</t>
  </si>
  <si>
    <t>Porto Space Team</t>
  </si>
  <si>
    <t>https://www.portospaceteam.pt/en</t>
  </si>
  <si>
    <t>Project Sunride</t>
  </si>
  <si>
    <t>https://sunride.space/</t>
  </si>
  <si>
    <t>TUDSaT</t>
  </si>
  <si>
    <t>(TRACE)</t>
  </si>
  <si>
    <t>https://www.aurorarocketry.eu/</t>
  </si>
  <si>
    <t>Aurora Rocketry Team</t>
  </si>
  <si>
    <t>North Space</t>
  </si>
  <si>
    <t>https://thenorth.space</t>
  </si>
  <si>
    <t>Malta</t>
  </si>
  <si>
    <t>University of Malta</t>
  </si>
  <si>
    <t>UM Rocketry</t>
  </si>
  <si>
    <t>https://www.umrocketry.org.mt/</t>
  </si>
  <si>
    <t>EUROC_TOTAL</t>
  </si>
  <si>
    <t>Częstochowa</t>
  </si>
  <si>
    <t>Covilhã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</si>
</sst>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3" fillId="0" borderId="0" xfId="0" applyFont="1"/>
    <xf numFmtId="0" fontId="0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4" fillId="0" borderId="0" xfId="1"/>
    <xf numFmtId="0" fontId="0" fillId="0" borderId="1" xfId="0" applyFont="1" applyBorder="1"/>
    <xf numFmtId="0" fontId="0" fillId="0" borderId="0" xfId="0" applyFont="1" applyFill="1" applyBorder="1"/>
    <xf numFmtId="0" fontId="1" fillId="0" borderId="2" xfId="0" applyFont="1" applyBorder="1" applyAlignment="1"/>
    <xf numFmtId="0" fontId="1" fillId="0" borderId="0" xfId="0" applyFont="1" applyBorder="1" applyAlignment="1"/>
    <xf numFmtId="0" fontId="0" fillId="0" borderId="0" xfId="0" applyFill="1"/>
    <xf numFmtId="0" fontId="0" fillId="2" borderId="0" xfId="0" applyFill="1"/>
    <xf numFmtId="0" fontId="0" fillId="2" borderId="0" xfId="0" quotePrefix="1" applyFill="1"/>
    <xf numFmtId="0" fontId="4" fillId="0" borderId="1" xfId="1" applyBorder="1"/>
    <xf numFmtId="0" fontId="0" fillId="0" borderId="0" xfId="0" applyFont="1" applyBorder="1"/>
    <xf numFmtId="0" fontId="0" fillId="0" borderId="2" xfId="0" applyBorder="1"/>
    <xf numFmtId="0" fontId="1" fillId="0" borderId="0" xfId="0" applyFont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Fill="1"/>
    <xf numFmtId="49" fontId="0" fillId="0" borderId="0" xfId="0" applyNumberFormat="1" applyAlignment="1">
      <alignment vertical="center" wrapText="1"/>
    </xf>
    <xf numFmtId="49" fontId="0" fillId="2" borderId="0" xfId="0" quotePrefix="1" applyNumberFormat="1" applyFill="1"/>
    <xf numFmtId="49" fontId="4" fillId="0" borderId="0" xfId="1" applyNumberFormat="1"/>
    <xf numFmtId="0" fontId="1" fillId="0" borderId="0" xfId="0" applyFont="1" applyAlignment="1">
      <alignment horizontal="center"/>
    </xf>
    <xf numFmtId="0" fontId="4" fillId="0" borderId="0" xfId="1" applyFill="1" applyBorder="1"/>
    <xf numFmtId="49" fontId="0" fillId="0" borderId="0" xfId="0" quotePrefix="1" applyNumberFormat="1"/>
    <xf numFmtId="0" fontId="3" fillId="0" borderId="2" xfId="0" applyFont="1" applyBorder="1"/>
    <xf numFmtId="0" fontId="0" fillId="0" borderId="2" xfId="0" applyFill="1" applyBorder="1"/>
    <xf numFmtId="0" fontId="1" fillId="0" borderId="0" xfId="0" applyFont="1" applyAlignment="1">
      <alignment horizontal="center"/>
    </xf>
    <xf numFmtId="0" fontId="0" fillId="3" borderId="0" xfId="0" applyFill="1"/>
    <xf numFmtId="49" fontId="0" fillId="3" borderId="0" xfId="0" applyNumberFormat="1" applyFill="1"/>
    <xf numFmtId="0" fontId="4" fillId="0" borderId="0" xfId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over.pcz.pl/" TargetMode="External"/><Relationship Id="rId299" Type="http://schemas.openxmlformats.org/officeDocument/2006/relationships/hyperlink" Target="https://indico.ific.uv.es/event/7358/contributions/22707/attachments/11865/16759/Francisco_Garcia_ODALISS_ASFAE_2024.pdf" TargetMode="External"/><Relationship Id="rId21" Type="http://schemas.openxmlformats.org/officeDocument/2006/relationships/hyperlink" Target="https://www.instagram.com/beyond_robotics/" TargetMode="External"/><Relationship Id="rId63" Type="http://schemas.openxmlformats.org/officeDocument/2006/relationships/hyperlink" Target="https://www.linkedin.com/company/fhnw-rover-team" TargetMode="External"/><Relationship Id="rId159" Type="http://schemas.openxmlformats.org/officeDocument/2006/relationships/hyperlink" Target="https://www.en.space.aau.dk/about-aau-space" TargetMode="External"/><Relationship Id="rId324" Type="http://schemas.openxmlformats.org/officeDocument/2006/relationships/hyperlink" Target="https://it.linkedin.com/company/j2050-new-epoch-technologies" TargetMode="External"/><Relationship Id="rId366" Type="http://schemas.openxmlformats.org/officeDocument/2006/relationships/hyperlink" Target="https://www.facebook.com/ProjectMarsWorks/" TargetMode="External"/><Relationship Id="rId170" Type="http://schemas.openxmlformats.org/officeDocument/2006/relationships/hyperlink" Target="https://www.hs-nordhausen.de/en/research-project/bexus-aresonus-2/" TargetMode="External"/><Relationship Id="rId226" Type="http://schemas.openxmlformats.org/officeDocument/2006/relationships/hyperlink" Target="https://morerexus.wordpress.com/sponsorship/" TargetMode="External"/><Relationship Id="rId268" Type="http://schemas.openxmlformats.org/officeDocument/2006/relationships/hyperlink" Target="https://www.instagram.com/persis.munich/" TargetMode="External"/><Relationship Id="rId32" Type="http://schemas.openxmlformats.org/officeDocument/2006/relationships/hyperlink" Target="https://knr.edu.pl/" TargetMode="External"/><Relationship Id="rId74" Type="http://schemas.openxmlformats.org/officeDocument/2006/relationships/hyperlink" Target="https://www.instagram.com/spaceteamaachen/" TargetMode="External"/><Relationship Id="rId128" Type="http://schemas.openxmlformats.org/officeDocument/2006/relationships/hyperlink" Target="https://twitter.com/team_roverova" TargetMode="External"/><Relationship Id="rId335" Type="http://schemas.openxmlformats.org/officeDocument/2006/relationships/hyperlink" Target="https://www.linkedin.com/company/uvigospacelab" TargetMode="External"/><Relationship Id="rId377" Type="http://schemas.openxmlformats.org/officeDocument/2006/relationships/hyperlink" Target="https://www.facebook.com/tuspaceteam/" TargetMode="External"/><Relationship Id="rId5" Type="http://schemas.openxmlformats.org/officeDocument/2006/relationships/hyperlink" Target="https://www.linkedin.com/company/aau-space-robotics" TargetMode="External"/><Relationship Id="rId181" Type="http://schemas.openxmlformats.org/officeDocument/2006/relationships/hyperlink" Target="https://ksat-stuttgart.de/en/" TargetMode="External"/><Relationship Id="rId237" Type="http://schemas.openxmlformats.org/officeDocument/2006/relationships/hyperlink" Target="https://www.facebook.com/chaos.bexus" TargetMode="External"/><Relationship Id="rId402" Type="http://schemas.openxmlformats.org/officeDocument/2006/relationships/hyperlink" Target="https://www.leofly.fr/" TargetMode="External"/><Relationship Id="rId279" Type="http://schemas.openxmlformats.org/officeDocument/2006/relationships/hyperlink" Target="https://www.facebook.com/SKA.PW/" TargetMode="External"/><Relationship Id="rId43" Type="http://schemas.openxmlformats.org/officeDocument/2006/relationships/hyperlink" Target="https://x.com/4SpaceUniovi" TargetMode="External"/><Relationship Id="rId139" Type="http://schemas.openxmlformats.org/officeDocument/2006/relationships/hyperlink" Target="https://www.instagram.com/erig1999/" TargetMode="External"/><Relationship Id="rId290" Type="http://schemas.openxmlformats.org/officeDocument/2006/relationships/hyperlink" Target="https://www.instagram.com/project_svarog/" TargetMode="External"/><Relationship Id="rId304" Type="http://schemas.openxmlformats.org/officeDocument/2006/relationships/hyperlink" Target="https://www.facebook.com/istsatone" TargetMode="External"/><Relationship Id="rId346" Type="http://schemas.openxmlformats.org/officeDocument/2006/relationships/hyperlink" Target="https://it.linkedin.com/company/alma-x" TargetMode="External"/><Relationship Id="rId388" Type="http://schemas.openxmlformats.org/officeDocument/2006/relationships/hyperlink" Target="https://www.linkedin.com/company/rocketexperimentdivision" TargetMode="External"/><Relationship Id="rId85" Type="http://schemas.openxmlformats.org/officeDocument/2006/relationships/hyperlink" Target="https://www.instagram.com/ProjektScorpio" TargetMode="External"/><Relationship Id="rId150" Type="http://schemas.openxmlformats.org/officeDocument/2006/relationships/hyperlink" Target="https://www.esa.int/Education/Meet_the_teams_Masat-1" TargetMode="External"/><Relationship Id="rId192" Type="http://schemas.openxmlformats.org/officeDocument/2006/relationships/hyperlink" Target="https://www.facebook.com/ProjectFrede/" TargetMode="External"/><Relationship Id="rId206" Type="http://schemas.openxmlformats.org/officeDocument/2006/relationships/hyperlink" Target="https://www.instagram.com/" TargetMode="External"/><Relationship Id="rId413" Type="http://schemas.openxmlformats.org/officeDocument/2006/relationships/hyperlink" Target="https://pl.linkedin.com/company/putrocketlab" TargetMode="External"/><Relationship Id="rId248" Type="http://schemas.openxmlformats.org/officeDocument/2006/relationships/hyperlink" Target="https://www.instagram.com/pr4_space/" TargetMode="External"/><Relationship Id="rId12" Type="http://schemas.openxmlformats.org/officeDocument/2006/relationships/hyperlink" Target="https://www.star-dresden.de/" TargetMode="External"/><Relationship Id="rId108" Type="http://schemas.openxmlformats.org/officeDocument/2006/relationships/hyperlink" Target="https://www.facebook.com/profile.php?id=61567039387988" TargetMode="External"/><Relationship Id="rId315" Type="http://schemas.openxmlformats.org/officeDocument/2006/relationships/hyperlink" Target="https://www.instagram.com/AaltoSatellites/" TargetMode="External"/><Relationship Id="rId357" Type="http://schemas.openxmlformats.org/officeDocument/2006/relationships/hyperlink" Target="https://sknm.zut.edu.pl/" TargetMode="External"/><Relationship Id="rId54" Type="http://schemas.openxmlformats.org/officeDocument/2006/relationships/hyperlink" Target="https://brnomarsrover.cz/" TargetMode="External"/><Relationship Id="rId96" Type="http://schemas.openxmlformats.org/officeDocument/2006/relationships/hyperlink" Target="https://www.gearsnl.com/" TargetMode="External"/><Relationship Id="rId161" Type="http://schemas.openxmlformats.org/officeDocument/2006/relationships/hyperlink" Target="https://upcommons.upc.edu/server/api/core/bitstreams/3370a1fc-eb0e-4906-bfdf-4a5c813e7b1d/content" TargetMode="External"/><Relationship Id="rId217" Type="http://schemas.openxmlformats.org/officeDocument/2006/relationships/hyperlink" Target="https://www.linkedin.com/company/strathseds/" TargetMode="External"/><Relationship Id="rId399" Type="http://schemas.openxmlformats.org/officeDocument/2006/relationships/hyperlink" Target="https://imperialrocketry.com/" TargetMode="External"/><Relationship Id="rId259" Type="http://schemas.openxmlformats.org/officeDocument/2006/relationships/hyperlink" Target="https://www.instagram.com/beamauth/" TargetMode="External"/><Relationship Id="rId424" Type="http://schemas.openxmlformats.org/officeDocument/2006/relationships/hyperlink" Target="https://the-arc.dk/" TargetMode="External"/><Relationship Id="rId23" Type="http://schemas.openxmlformats.org/officeDocument/2006/relationships/hyperlink" Target="https://x.com/DIANA_space" TargetMode="External"/><Relationship Id="rId119" Type="http://schemas.openxmlformats.org/officeDocument/2006/relationships/hyperlink" Target="https://www.linkedin.com/company/74904835" TargetMode="External"/><Relationship Id="rId270" Type="http://schemas.openxmlformats.org/officeDocument/2006/relationships/hyperlink" Target="https://bexus-saria.gitlab.io/" TargetMode="External"/><Relationship Id="rId326" Type="http://schemas.openxmlformats.org/officeDocument/2006/relationships/hyperlink" Target="https://www.research.unipd.it/handle/11577/3514855" TargetMode="External"/><Relationship Id="rId65" Type="http://schemas.openxmlformats.org/officeDocument/2006/relationships/hyperlink" Target="https://cturobotics.cz/" TargetMode="External"/><Relationship Id="rId130" Type="http://schemas.openxmlformats.org/officeDocument/2006/relationships/hyperlink" Target="https://www.linkedin.com/company/erc-orion-project/" TargetMode="External"/><Relationship Id="rId368" Type="http://schemas.openxmlformats.org/officeDocument/2006/relationships/hyperlink" Target="https://www.facebook.com/RoboClyde/" TargetMode="External"/><Relationship Id="rId172" Type="http://schemas.openxmlformats.org/officeDocument/2006/relationships/hyperlink" Target="https://www.asg.ed.tum.de/iapg/bexus/" TargetMode="External"/><Relationship Id="rId228" Type="http://schemas.openxmlformats.org/officeDocument/2006/relationships/hyperlink" Target="https://www.facebook.com/viperrexus/" TargetMode="External"/><Relationship Id="rId281" Type="http://schemas.openxmlformats.org/officeDocument/2006/relationships/hyperlink" Target="https://www.instagram.com/raptexuit/" TargetMode="External"/><Relationship Id="rId337" Type="http://schemas.openxmlformats.org/officeDocument/2006/relationships/hyperlink" Target="https://www.facebook.com/uvigospacelab/" TargetMode="External"/><Relationship Id="rId34" Type="http://schemas.openxmlformats.org/officeDocument/2006/relationships/hyperlink" Target="https://www.instagram.com/knr_pw/" TargetMode="External"/><Relationship Id="rId76" Type="http://schemas.openxmlformats.org/officeDocument/2006/relationships/hyperlink" Target="https://www.instagram.com/astropkrk/" TargetMode="External"/><Relationship Id="rId141" Type="http://schemas.openxmlformats.org/officeDocument/2006/relationships/hyperlink" Target="https://fupla.tu.kielce.pl/" TargetMode="External"/><Relationship Id="rId379" Type="http://schemas.openxmlformats.org/officeDocument/2006/relationships/hyperlink" Target="https://www.linkedin.com/company/18342719" TargetMode="External"/><Relationship Id="rId7" Type="http://schemas.openxmlformats.org/officeDocument/2006/relationships/hyperlink" Target="https://www.linkedin.com/company/bears-ev/" TargetMode="External"/><Relationship Id="rId183" Type="http://schemas.openxmlformats.org/officeDocument/2006/relationships/hyperlink" Target="https://warr.de/" TargetMode="External"/><Relationship Id="rId239" Type="http://schemas.openxmlformats.org/officeDocument/2006/relationships/hyperlink" Target="https://www.uni-due.de/physik/irocs/team.php" TargetMode="External"/><Relationship Id="rId390" Type="http://schemas.openxmlformats.org/officeDocument/2006/relationships/hyperlink" Target="https://www.facebook.com/ieeeupsb/posts/o-tarvos-esteve-no-euroc-parte-22de-11-a-17-de-outubro-o-tarvos-marcou-presen%C3%A7a-/4547465748669014/" TargetMode="External"/><Relationship Id="rId404" Type="http://schemas.openxmlformats.org/officeDocument/2006/relationships/hyperlink" Target="https://www.upv.es/entidades/adge/en/faraday-rocketry-upv-2/" TargetMode="External"/><Relationship Id="rId250" Type="http://schemas.openxmlformats.org/officeDocument/2006/relationships/hyperlink" Target="https://www.hesge.ch/hepia/recherche-developpement/projets-recherche/termine/ares-ii" TargetMode="External"/><Relationship Id="rId292" Type="http://schemas.openxmlformats.org/officeDocument/2006/relationships/hyperlink" Target="https://www.facebook.com/auxspace/posts/team-slosh-got-accepted-for-the-rexus-program-were-so-excited-for-the-upcoming-1/349384191178691/" TargetMode="External"/><Relationship Id="rId306" Type="http://schemas.openxmlformats.org/officeDocument/2006/relationships/hyperlink" Target="https://www.linkedin.com/company/ist-nanosatlab" TargetMode="External"/><Relationship Id="rId45" Type="http://schemas.openxmlformats.org/officeDocument/2006/relationships/hyperlink" Target="https://www.instagram.com/4space.uniovi/" TargetMode="External"/><Relationship Id="rId87" Type="http://schemas.openxmlformats.org/officeDocument/2006/relationships/hyperlink" Target="https://shobolinsky.com/" TargetMode="External"/><Relationship Id="rId110" Type="http://schemas.openxmlformats.org/officeDocument/2006/relationships/hyperlink" Target="https://www.linkedin.com/in/nspace-team" TargetMode="External"/><Relationship Id="rId348" Type="http://schemas.openxmlformats.org/officeDocument/2006/relationships/hyperlink" Target="https://www.facebook.com/morpheusteam/" TargetMode="External"/><Relationship Id="rId152" Type="http://schemas.openxmlformats.org/officeDocument/2006/relationships/hyperlink" Target="https://www.instagram.com/supaeromoon/" TargetMode="External"/><Relationship Id="rId194" Type="http://schemas.openxmlformats.org/officeDocument/2006/relationships/hyperlink" Target="https://www.ltu.se/en/research/research-areas/space/student-projects" TargetMode="External"/><Relationship Id="rId208" Type="http://schemas.openxmlformats.org/officeDocument/2006/relationships/hyperlink" Target="https://twitter.com/" TargetMode="External"/><Relationship Id="rId415" Type="http://schemas.openxmlformats.org/officeDocument/2006/relationships/hyperlink" Target="https://www.astra-bremen.de/projects" TargetMode="External"/><Relationship Id="rId261" Type="http://schemas.openxmlformats.org/officeDocument/2006/relationships/hyperlink" Target="https://asat.gr/" TargetMode="External"/><Relationship Id="rId14" Type="http://schemas.openxmlformats.org/officeDocument/2006/relationships/hyperlink" Target="https://www.instagram.com/star_dresden/" TargetMode="External"/><Relationship Id="rId56" Type="http://schemas.openxmlformats.org/officeDocument/2006/relationships/hyperlink" Target="https://www.instagram.com/brnomarsrover" TargetMode="External"/><Relationship Id="rId317" Type="http://schemas.openxmlformats.org/officeDocument/2006/relationships/hyperlink" Target="https://www.aalto.fi/en/spacecraft" TargetMode="External"/><Relationship Id="rId359" Type="http://schemas.openxmlformats.org/officeDocument/2006/relationships/hyperlink" Target="https://www.facebook.com/ContinuumUWr/" TargetMode="External"/><Relationship Id="rId98" Type="http://schemas.openxmlformats.org/officeDocument/2006/relationships/hyperlink" Target="https://www.instagram.com/makercie_team/" TargetMode="External"/><Relationship Id="rId121" Type="http://schemas.openxmlformats.org/officeDocument/2006/relationships/hyperlink" Target="https://legendaryrover.win/" TargetMode="External"/><Relationship Id="rId163" Type="http://schemas.openxmlformats.org/officeDocument/2006/relationships/hyperlink" Target="https://www.facebook.com/EIRSAT1/" TargetMode="External"/><Relationship Id="rId219" Type="http://schemas.openxmlformats.org/officeDocument/2006/relationships/hyperlink" Target="https://www.facebook.com/ozoneteampd/" TargetMode="External"/><Relationship Id="rId370" Type="http://schemas.openxmlformats.org/officeDocument/2006/relationships/hyperlink" Target="https://nspace.team/" TargetMode="External"/><Relationship Id="rId426" Type="http://schemas.openxmlformats.org/officeDocument/2006/relationships/hyperlink" Target="https://www.portospaceteam.pt/en" TargetMode="External"/><Relationship Id="rId230" Type="http://schemas.openxmlformats.org/officeDocument/2006/relationships/hyperlink" Target="https://de.linkedin.com/company/micromoon" TargetMode="External"/><Relationship Id="rId25" Type="http://schemas.openxmlformats.org/officeDocument/2006/relationships/hyperlink" Target="https://www.instagram.com/team_diana_polito/" TargetMode="External"/><Relationship Id="rId67" Type="http://schemas.openxmlformats.org/officeDocument/2006/relationships/hyperlink" Target="https://www.instagram.com/cturobotics/" TargetMode="External"/><Relationship Id="rId272" Type="http://schemas.openxmlformats.org/officeDocument/2006/relationships/hyperlink" Target="https://twitter.com/daretudelft" TargetMode="External"/><Relationship Id="rId328" Type="http://schemas.openxmlformats.org/officeDocument/2006/relationships/hyperlink" Target="https://be.linkedin.com/company/alba-cubesat-unipd" TargetMode="External"/><Relationship Id="rId132" Type="http://schemas.openxmlformats.org/officeDocument/2006/relationships/hyperlink" Target="https://www.facebook.com/marsroverkielce" TargetMode="External"/><Relationship Id="rId174" Type="http://schemas.openxmlformats.org/officeDocument/2006/relationships/hyperlink" Target="https://www.facebook.com/ehuspace/" TargetMode="External"/><Relationship Id="rId381" Type="http://schemas.openxmlformats.org/officeDocument/2006/relationships/hyperlink" Target="https://www.biskyteam.com/en/homepage/" TargetMode="External"/><Relationship Id="rId241" Type="http://schemas.openxmlformats.org/officeDocument/2006/relationships/hyperlink" Target="https://www.facebook.com/irocs.bexus/" TargetMode="External"/><Relationship Id="rId36" Type="http://schemas.openxmlformats.org/officeDocument/2006/relationships/hyperlink" Target="https://pl.linkedin.com/company/skapw" TargetMode="External"/><Relationship Id="rId283" Type="http://schemas.openxmlformats.org/officeDocument/2006/relationships/hyperlink" Target="https://spicybexus.de/2024/07/06/spicy-x-lmus-faculty-of-biology/" TargetMode="External"/><Relationship Id="rId339" Type="http://schemas.openxmlformats.org/officeDocument/2006/relationships/hyperlink" Target="https://hsmaries.space/" TargetMode="External"/><Relationship Id="rId78" Type="http://schemas.openxmlformats.org/officeDocument/2006/relationships/hyperlink" Target="https://mikroprocek.pl/" TargetMode="External"/><Relationship Id="rId101" Type="http://schemas.openxmlformats.org/officeDocument/2006/relationships/hyperlink" Target="https://mechspace.notion.site/University-College-London-Racing-Teams-1309d1a93412405f87f42cfaaf9094bc?p=3ab2151b96aa45739a61f4cbfb0ada04&amp;pm=c" TargetMode="External"/><Relationship Id="rId143" Type="http://schemas.openxmlformats.org/officeDocument/2006/relationships/hyperlink" Target="https://fr.linkedin.com/in/edge-rover-8a027b234" TargetMode="External"/><Relationship Id="rId185" Type="http://schemas.openxmlformats.org/officeDocument/2006/relationships/hyperlink" Target="https://www.linkedin.com/company/11814768" TargetMode="External"/><Relationship Id="rId350" Type="http://schemas.openxmlformats.org/officeDocument/2006/relationships/hyperlink" Target="https://wm.pb.edu.pl/knr/" TargetMode="External"/><Relationship Id="rId406" Type="http://schemas.openxmlformats.org/officeDocument/2006/relationships/hyperlink" Target="https://www.linkedin.com/company/77967436" TargetMode="External"/><Relationship Id="rId9" Type="http://schemas.openxmlformats.org/officeDocument/2006/relationships/hyperlink" Target="https://frost-rover.com/" TargetMode="External"/><Relationship Id="rId210" Type="http://schemas.openxmlformats.org/officeDocument/2006/relationships/hyperlink" Target="https://www.facebook.com/signonexperiment/" TargetMode="External"/><Relationship Id="rId392" Type="http://schemas.openxmlformats.org/officeDocument/2006/relationships/hyperlink" Target="https://www.facebook.com/cheroavias/" TargetMode="External"/><Relationship Id="rId252" Type="http://schemas.openxmlformats.org/officeDocument/2006/relationships/hyperlink" Target="https://simle.pl/main" TargetMode="External"/><Relationship Id="rId294" Type="http://schemas.openxmlformats.org/officeDocument/2006/relationships/hyperlink" Target="https://de.linkedin.com/company/auxspace-ev?trk=public_post_feed-actor-name" TargetMode="External"/><Relationship Id="rId308" Type="http://schemas.openxmlformats.org/officeDocument/2006/relationships/hyperlink" Target="https://generic.wordpress.soton.ac.uk/uos3/" TargetMode="External"/><Relationship Id="rId47" Type="http://schemas.openxmlformats.org/officeDocument/2006/relationships/hyperlink" Target="https://x.com/UPCSpaceProgram" TargetMode="External"/><Relationship Id="rId89" Type="http://schemas.openxmlformats.org/officeDocument/2006/relationships/hyperlink" Target="https://www.instagram.com/shobolinsky/" TargetMode="External"/><Relationship Id="rId112" Type="http://schemas.openxmlformats.org/officeDocument/2006/relationships/hyperlink" Target="https://stl.inf.elte.hu/" TargetMode="External"/><Relationship Id="rId154" Type="http://schemas.openxmlformats.org/officeDocument/2006/relationships/hyperlink" Target="https://supaeromoon.wordpress.com/" TargetMode="External"/><Relationship Id="rId361" Type="http://schemas.openxmlformats.org/officeDocument/2006/relationships/hyperlink" Target="https://www.linkedin.com/company/cranseds" TargetMode="External"/><Relationship Id="rId196" Type="http://schemas.openxmlformats.org/officeDocument/2006/relationships/hyperlink" Target="https://www.instagram.com/orbitntnu/" TargetMode="External"/><Relationship Id="rId417" Type="http://schemas.openxmlformats.org/officeDocument/2006/relationships/hyperlink" Target="https://bristolseds.co.uk/hypower-bristol/" TargetMode="External"/><Relationship Id="rId16" Type="http://schemas.openxmlformats.org/officeDocument/2006/relationships/hyperlink" Target="https://x.com/warr_robotics" TargetMode="External"/><Relationship Id="rId221" Type="http://schemas.openxmlformats.org/officeDocument/2006/relationships/hyperlink" Target="https://sheffield.ac.uk/sunbyte" TargetMode="External"/><Relationship Id="rId263" Type="http://schemas.openxmlformats.org/officeDocument/2006/relationships/hyperlink" Target="https://www.facebook.com/spacedot.auth" TargetMode="External"/><Relationship Id="rId319" Type="http://schemas.openxmlformats.org/officeDocument/2006/relationships/hyperlink" Target="https://uobsat.uk/" TargetMode="External"/><Relationship Id="rId58" Type="http://schemas.openxmlformats.org/officeDocument/2006/relationships/hyperlink" Target="https://it.linkedin.com/company/sapienza-technology-team" TargetMode="External"/><Relationship Id="rId123" Type="http://schemas.openxmlformats.org/officeDocument/2006/relationships/hyperlink" Target="https://www.instagram.com/legendaryrzeszow/" TargetMode="External"/><Relationship Id="rId330" Type="http://schemas.openxmlformats.org/officeDocument/2006/relationships/hyperlink" Target="https://aero.uc3m.es/2024/08/29/uc3m-st3llarsat1-boira-arrives-to-esa-fys-dbs-final-design-review-fdr/" TargetMode="External"/><Relationship Id="rId165" Type="http://schemas.openxmlformats.org/officeDocument/2006/relationships/hyperlink" Target="https://www.instagram.com/eirsat1/" TargetMode="External"/><Relationship Id="rId372" Type="http://schemas.openxmlformats.org/officeDocument/2006/relationships/hyperlink" Target="https://www.facebook.com/DanSTAR.DTU/" TargetMode="External"/><Relationship Id="rId428" Type="http://schemas.openxmlformats.org/officeDocument/2006/relationships/hyperlink" Target="https://www.aurorarocketry.eu/" TargetMode="External"/><Relationship Id="rId232" Type="http://schemas.openxmlformats.org/officeDocument/2006/relationships/hyperlink" Target="https://www.tu.berlin/en/raumfahrttechnik/research/past-projects/until-2009" TargetMode="External"/><Relationship Id="rId274" Type="http://schemas.openxmlformats.org/officeDocument/2006/relationships/hyperlink" Target="https://www.instagram.com/daretudelft" TargetMode="External"/><Relationship Id="rId27" Type="http://schemas.openxmlformats.org/officeDocument/2006/relationships/hyperlink" Target="https://www.linkedin.com/company/projectred-unimore/" TargetMode="External"/><Relationship Id="rId69" Type="http://schemas.openxmlformats.org/officeDocument/2006/relationships/hyperlink" Target="https://de.linkedin.com/company/er-ig" TargetMode="External"/><Relationship Id="rId134" Type="http://schemas.openxmlformats.org/officeDocument/2006/relationships/hyperlink" Target="https://sknaimeth.polsl.pl/silesian-phoenix/" TargetMode="External"/><Relationship Id="rId80" Type="http://schemas.openxmlformats.org/officeDocument/2006/relationships/hyperlink" Target="https://www.linkedin.com/in/newtech-horizon-88281b355/" TargetMode="External"/><Relationship Id="rId176" Type="http://schemas.openxmlformats.org/officeDocument/2006/relationships/hyperlink" Target="https://www.linkedin.com/company/wuespace/" TargetMode="External"/><Relationship Id="rId341" Type="http://schemas.openxmlformats.org/officeDocument/2006/relationships/hyperlink" Target="https://www.itii-picardie.fr/litii-picardie/innovation-itii/" TargetMode="External"/><Relationship Id="rId383" Type="http://schemas.openxmlformats.org/officeDocument/2006/relationships/hyperlink" Target="https://cosmicresearch.org/" TargetMode="External"/><Relationship Id="rId201" Type="http://schemas.openxmlformats.org/officeDocument/2006/relationships/hyperlink" Target="https://www.instagram.com/tellerrexus/" TargetMode="External"/><Relationship Id="rId243" Type="http://schemas.openxmlformats.org/officeDocument/2006/relationships/hyperlink" Target="https://www.facebook.com/Destiny-Project-254660291873036/" TargetMode="External"/><Relationship Id="rId285" Type="http://schemas.openxmlformats.org/officeDocument/2006/relationships/hyperlink" Target="https://www.instagram.com/p/C7hpm5HsFQK/1-this-post-explains-our-project-clarifying-what-smart-is-all-about-and-sharing-/" TargetMode="External"/><Relationship Id="rId38" Type="http://schemas.openxmlformats.org/officeDocument/2006/relationships/hyperlink" Target="https://raptors.p.lodz.pl/" TargetMode="External"/><Relationship Id="rId103" Type="http://schemas.openxmlformats.org/officeDocument/2006/relationships/hyperlink" Target="https://www.instagram.com/uclracing/" TargetMode="External"/><Relationship Id="rId310" Type="http://schemas.openxmlformats.org/officeDocument/2006/relationships/hyperlink" Target="https://ucanfly.uca.es/" TargetMode="External"/><Relationship Id="rId91" Type="http://schemas.openxmlformats.org/officeDocument/2006/relationships/hyperlink" Target="https://www.x.com/ArgoSRT" TargetMode="External"/><Relationship Id="rId145" Type="http://schemas.openxmlformats.org/officeDocument/2006/relationships/hyperlink" Target="https://www.instagram.com/konar_robotics/" TargetMode="External"/><Relationship Id="rId187" Type="http://schemas.openxmlformats.org/officeDocument/2006/relationships/hyperlink" Target="https://twitter.com/warr_tum" TargetMode="External"/><Relationship Id="rId352" Type="http://schemas.openxmlformats.org/officeDocument/2006/relationships/hyperlink" Target="https://www.facebook.com/astrokrk" TargetMode="External"/><Relationship Id="rId394" Type="http://schemas.openxmlformats.org/officeDocument/2006/relationships/hyperlink" Target="https://www.facebook.com/aerospaceteamgraz/" TargetMode="External"/><Relationship Id="rId408" Type="http://schemas.openxmlformats.org/officeDocument/2006/relationships/hyperlink" Target="https://staruc3m.com/" TargetMode="External"/><Relationship Id="rId1" Type="http://schemas.openxmlformats.org/officeDocument/2006/relationships/hyperlink" Target="https://www.tarsupv.com/" TargetMode="External"/><Relationship Id="rId212" Type="http://schemas.openxmlformats.org/officeDocument/2006/relationships/hyperlink" Target="https://www.hslu.ch/en/lucerne-university-of-applied-sciences-and-arts/research/projects/detail/?pid=3384" TargetMode="External"/><Relationship Id="rId233" Type="http://schemas.openxmlformats.org/officeDocument/2006/relationships/hyperlink" Target="https://www.instagram.com/tupex7/" TargetMode="External"/><Relationship Id="rId254" Type="http://schemas.openxmlformats.org/officeDocument/2006/relationships/hyperlink" Target="https://www.instagram.com/simle.pg?utm_source=ig_web_button_share_sheet&amp;igsh=ZDNlZDc0MzIxNw==" TargetMode="External"/><Relationship Id="rId28" Type="http://schemas.openxmlformats.org/officeDocument/2006/relationships/hyperlink" Target="https://www.instagram.com/project_red_dismi/" TargetMode="External"/><Relationship Id="rId49" Type="http://schemas.openxmlformats.org/officeDocument/2006/relationships/hyperlink" Target="https://www.instagram.com/upcspaceprogram/" TargetMode="External"/><Relationship Id="rId114" Type="http://schemas.openxmlformats.org/officeDocument/2006/relationships/hyperlink" Target="https://spacecoffee.net/news/mper-at-the-projekt-politechnika-conference/" TargetMode="External"/><Relationship Id="rId275" Type="http://schemas.openxmlformats.org/officeDocument/2006/relationships/hyperlink" Target="https://www.linkedin.com/company/delft-aerospace-rocket-engineering" TargetMode="External"/><Relationship Id="rId296" Type="http://schemas.openxmlformats.org/officeDocument/2006/relationships/hyperlink" Target="https://arts.units.it/handle/11368/2339512" TargetMode="External"/><Relationship Id="rId300" Type="http://schemas.openxmlformats.org/officeDocument/2006/relationships/hyperlink" Target="https://www.emxys.com/showarticle-55" TargetMode="External"/><Relationship Id="rId60" Type="http://schemas.openxmlformats.org/officeDocument/2006/relationships/hyperlink" Target="https://www.facebook.com/orion.pollub" TargetMode="External"/><Relationship Id="rId81" Type="http://schemas.openxmlformats.org/officeDocument/2006/relationships/hyperlink" Target="https://www.instagram.com/newtechhorizon/?igsh=c2p5NXZ5dDJiNXh4" TargetMode="External"/><Relationship Id="rId135" Type="http://schemas.openxmlformats.org/officeDocument/2006/relationships/hyperlink" Target="https://www.linkedin.com/company/skn-ai-meth/" TargetMode="External"/><Relationship Id="rId156" Type="http://schemas.openxmlformats.org/officeDocument/2006/relationships/hyperlink" Target="https://www.esa.int/Education/Meet_the_teams_UniCubeSat-GG" TargetMode="External"/><Relationship Id="rId177" Type="http://schemas.openxmlformats.org/officeDocument/2006/relationships/hyperlink" Target="https://www.instagram.com/wuespace/?hl=fr" TargetMode="External"/><Relationship Id="rId198" Type="http://schemas.openxmlformats.org/officeDocument/2006/relationships/hyperlink" Target="https://www.facebook.com/OrbitNTNU/" TargetMode="External"/><Relationship Id="rId321" Type="http://schemas.openxmlformats.org/officeDocument/2006/relationships/hyperlink" Target="https://www.linkedin.com/company/prove-pathfinder/" TargetMode="External"/><Relationship Id="rId342" Type="http://schemas.openxmlformats.org/officeDocument/2006/relationships/hyperlink" Target="https://pucra.upc.edu/" TargetMode="External"/><Relationship Id="rId363" Type="http://schemas.openxmlformats.org/officeDocument/2006/relationships/hyperlink" Target="https://marsworks.sites.sheffield.ac.uk/" TargetMode="External"/><Relationship Id="rId384" Type="http://schemas.openxmlformats.org/officeDocument/2006/relationships/hyperlink" Target="http://instagram.com/cosmicresearch/" TargetMode="External"/><Relationship Id="rId419" Type="http://schemas.openxmlformats.org/officeDocument/2006/relationships/hyperlink" Target="https://uk.linkedin.com/company/uon-space-society" TargetMode="External"/><Relationship Id="rId202" Type="http://schemas.openxmlformats.org/officeDocument/2006/relationships/hyperlink" Target="https://warwick.ac.uk/fac/sci/eng/meng/wusat/" TargetMode="External"/><Relationship Id="rId223" Type="http://schemas.openxmlformats.org/officeDocument/2006/relationships/hyperlink" Target="https://www.instagram.com/projectsunbyte/?hl=fr" TargetMode="External"/><Relationship Id="rId244" Type="http://schemas.openxmlformats.org/officeDocument/2006/relationships/hyperlink" Target="https://centrespatial-polytechnique.fr/" TargetMode="External"/><Relationship Id="rId430" Type="http://schemas.openxmlformats.org/officeDocument/2006/relationships/hyperlink" Target="https://www.umrocketry.org.mt/" TargetMode="External"/><Relationship Id="rId18" Type="http://schemas.openxmlformats.org/officeDocument/2006/relationships/hyperlink" Target="https://www.instagram.com/warr.robotics/" TargetMode="External"/><Relationship Id="rId39" Type="http://schemas.openxmlformats.org/officeDocument/2006/relationships/hyperlink" Target="https://x.com/pl_raptors" TargetMode="External"/><Relationship Id="rId265" Type="http://schemas.openxmlformats.org/officeDocument/2006/relationships/hyperlink" Target="https://www.linkedin.com/company/spacedot" TargetMode="External"/><Relationship Id="rId286" Type="http://schemas.openxmlformats.org/officeDocument/2006/relationships/hyperlink" Target="https://www.instagram.com/discosat/?hl=fr" TargetMode="External"/><Relationship Id="rId50" Type="http://schemas.openxmlformats.org/officeDocument/2006/relationships/hyperlink" Target="https://www.linkedin.com/company/epfl-xplore" TargetMode="External"/><Relationship Id="rId104" Type="http://schemas.openxmlformats.org/officeDocument/2006/relationships/hyperlink" Target="https://polispace.it/rovertech-team/" TargetMode="External"/><Relationship Id="rId125" Type="http://schemas.openxmlformats.org/officeDocument/2006/relationships/hyperlink" Target="https://www.linkedin.com/company/project-river/" TargetMode="External"/><Relationship Id="rId146" Type="http://schemas.openxmlformats.org/officeDocument/2006/relationships/hyperlink" Target="https://pl.linkedin.com/company/knrkonar" TargetMode="External"/><Relationship Id="rId167" Type="http://schemas.openxmlformats.org/officeDocument/2006/relationships/hyperlink" Target="https://www.linkedin.com/company/polarix-uit" TargetMode="External"/><Relationship Id="rId188" Type="http://schemas.openxmlformats.org/officeDocument/2006/relationships/hyperlink" Target="https://www.facebook.com/projectspade/" TargetMode="External"/><Relationship Id="rId311" Type="http://schemas.openxmlformats.org/officeDocument/2006/relationships/hyperlink" Target="https://www.instagram.com/ujirobotics?igsh=MXVrcHNuZzY0MnZlOQ==" TargetMode="External"/><Relationship Id="rId332" Type="http://schemas.openxmlformats.org/officeDocument/2006/relationships/hyperlink" Target="https://www.instagram.com/aris.space/" TargetMode="External"/><Relationship Id="rId353" Type="http://schemas.openxmlformats.org/officeDocument/2006/relationships/hyperlink" Target="https://www.facebook.com/cleverkameleon/" TargetMode="External"/><Relationship Id="rId374" Type="http://schemas.openxmlformats.org/officeDocument/2006/relationships/hyperlink" Target="https://www.linkedin.com/company/danstar" TargetMode="External"/><Relationship Id="rId395" Type="http://schemas.openxmlformats.org/officeDocument/2006/relationships/hyperlink" Target="https://www.instagram.com/aerospaceteamgrazofficial/" TargetMode="External"/><Relationship Id="rId409" Type="http://schemas.openxmlformats.org/officeDocument/2006/relationships/hyperlink" Target="https://es.linkedin.com/company/star-uc3m" TargetMode="External"/><Relationship Id="rId71" Type="http://schemas.openxmlformats.org/officeDocument/2006/relationships/hyperlink" Target="https://www.instagram.com/aries_space?igsh=M2Z3aHloZTA0ZXVs" TargetMode="External"/><Relationship Id="rId92" Type="http://schemas.openxmlformats.org/officeDocument/2006/relationships/hyperlink" Target="https://www.linkedin.com/company/argo-srt/" TargetMode="External"/><Relationship Id="rId213" Type="http://schemas.openxmlformats.org/officeDocument/2006/relationships/hyperlink" Target="https://www.facebook.com/REXUSBEXUS-Predator-Team-664531340317192/" TargetMode="External"/><Relationship Id="rId234" Type="http://schemas.openxmlformats.org/officeDocument/2006/relationships/hyperlink" Target="https://www.bexus.org/" TargetMode="External"/><Relationship Id="rId420" Type="http://schemas.openxmlformats.org/officeDocument/2006/relationships/hyperlink" Target="https://www.ulas-hipr.ie/" TargetMode="External"/><Relationship Id="rId2" Type="http://schemas.openxmlformats.org/officeDocument/2006/relationships/hyperlink" Target="https://x.com/Tars_UPV" TargetMode="External"/><Relationship Id="rId29" Type="http://schemas.openxmlformats.org/officeDocument/2006/relationships/hyperlink" Target="https://spacesystems.agh.edu.pl/" TargetMode="External"/><Relationship Id="rId255" Type="http://schemas.openxmlformats.org/officeDocument/2006/relationships/hyperlink" Target="https://pl.linkedin.com/company/simle" TargetMode="External"/><Relationship Id="rId276" Type="http://schemas.openxmlformats.org/officeDocument/2006/relationships/hyperlink" Target="https://www.mech.kuleuven.be/en/tme/research/hmt/Florence_REXUS" TargetMode="External"/><Relationship Id="rId297" Type="http://schemas.openxmlformats.org/officeDocument/2006/relationships/hyperlink" Target="https://www.reflexions.uliege.be/cms/c_15320/en/we-have-lift-off-oufti" TargetMode="External"/><Relationship Id="rId40" Type="http://schemas.openxmlformats.org/officeDocument/2006/relationships/hyperlink" Target="https://pl.linkedin.com/company/raptorspl" TargetMode="External"/><Relationship Id="rId115" Type="http://schemas.openxmlformats.org/officeDocument/2006/relationships/hyperlink" Target="https://www.linkedin.com/company/skn-spacecoffee/" TargetMode="External"/><Relationship Id="rId136" Type="http://schemas.openxmlformats.org/officeDocument/2006/relationships/hyperlink" Target="https://instagram.com/silesianphoenix" TargetMode="External"/><Relationship Id="rId157" Type="http://schemas.openxmlformats.org/officeDocument/2006/relationships/hyperlink" Target="https://www.xatcobeo.com/" TargetMode="External"/><Relationship Id="rId178" Type="http://schemas.openxmlformats.org/officeDocument/2006/relationships/hyperlink" Target="https://wuespace.de/" TargetMode="External"/><Relationship Id="rId301" Type="http://schemas.openxmlformats.org/officeDocument/2006/relationships/hyperlink" Target="https://phd.uniroma1.it/web/ledsat-a-new-satellite-by-our-department-has-been-launched_nA887EN_EN.aspx" TargetMode="External"/><Relationship Id="rId322" Type="http://schemas.openxmlformats.org/officeDocument/2006/relationships/hyperlink" Target="https://www.hs-bremen.de/en/research/research-and-transfer-profile/research-project/visionary-ingenuity-boosting-european-spacecraft-microvibration-management-system/" TargetMode="External"/><Relationship Id="rId343" Type="http://schemas.openxmlformats.org/officeDocument/2006/relationships/hyperlink" Target="https://www.instagram.com/pucra.upc/" TargetMode="External"/><Relationship Id="rId364" Type="http://schemas.openxmlformats.org/officeDocument/2006/relationships/hyperlink" Target="https://uk.linkedin.com/company/project-marsworks" TargetMode="External"/><Relationship Id="rId61" Type="http://schemas.openxmlformats.org/officeDocument/2006/relationships/hyperlink" Target="https://www.instagram.com/projekt.orion/" TargetMode="External"/><Relationship Id="rId82" Type="http://schemas.openxmlformats.org/officeDocument/2006/relationships/hyperlink" Target="https://www.instagram.com/pb_rover_team?igsh=MnI2djJtb3FrMDFh" TargetMode="External"/><Relationship Id="rId199" Type="http://schemas.openxmlformats.org/officeDocument/2006/relationships/hyperlink" Target="https://teller.bme.hu/" TargetMode="External"/><Relationship Id="rId203" Type="http://schemas.openxmlformats.org/officeDocument/2006/relationships/hyperlink" Target="https://uk.linkedin.com/company/wusat-warwick" TargetMode="External"/><Relationship Id="rId385" Type="http://schemas.openxmlformats.org/officeDocument/2006/relationships/hyperlink" Target="https://www.facebook.com/CosmicResearch/" TargetMode="External"/><Relationship Id="rId19" Type="http://schemas.openxmlformats.org/officeDocument/2006/relationships/hyperlink" Target="https://www.beyond-orbit.org/" TargetMode="External"/><Relationship Id="rId224" Type="http://schemas.openxmlformats.org/officeDocument/2006/relationships/hyperlink" Target="https://www.informatik.uni-wuerzburg.de/en/raumfahrttechnik/studentische-aktivitaeten/rexus-bexus/" TargetMode="External"/><Relationship Id="rId245" Type="http://schemas.openxmlformats.org/officeDocument/2006/relationships/hyperlink" Target="https://fr.linkedin.com/company/centre-spatial-de-l-cole-polytechnique" TargetMode="External"/><Relationship Id="rId266" Type="http://schemas.openxmlformats.org/officeDocument/2006/relationships/hyperlink" Target="https://twitter.com/spacedot_auth" TargetMode="External"/><Relationship Id="rId287" Type="http://schemas.openxmlformats.org/officeDocument/2006/relationships/hyperlink" Target="https://www.linkedin.com/company/danish-student-cubesat-program" TargetMode="External"/><Relationship Id="rId410" Type="http://schemas.openxmlformats.org/officeDocument/2006/relationships/hyperlink" Target="https://spaceresearch.cvut.cz/en/" TargetMode="External"/><Relationship Id="rId30" Type="http://schemas.openxmlformats.org/officeDocument/2006/relationships/hyperlink" Target="https://www.linkedin.com/company/agh-space-systems/" TargetMode="External"/><Relationship Id="rId105" Type="http://schemas.openxmlformats.org/officeDocument/2006/relationships/hyperlink" Target="https://it.linkedin.com/company/polispacepolimi" TargetMode="External"/><Relationship Id="rId126" Type="http://schemas.openxmlformats.org/officeDocument/2006/relationships/hyperlink" Target="https://www.instagram.com/river.erc.rover/" TargetMode="External"/><Relationship Id="rId147" Type="http://schemas.openxmlformats.org/officeDocument/2006/relationships/hyperlink" Target="https://konar.pwr.edu.pl/project/nomad" TargetMode="External"/><Relationship Id="rId168" Type="http://schemas.openxmlformats.org/officeDocument/2006/relationships/hyperlink" Target="https://polarixuit.no/" TargetMode="External"/><Relationship Id="rId312" Type="http://schemas.openxmlformats.org/officeDocument/2006/relationships/hyperlink" Target="https://www.instagram.com/ucanfly_cadiz/?hl=es" TargetMode="External"/><Relationship Id="rId333" Type="http://schemas.openxmlformats.org/officeDocument/2006/relationships/hyperlink" Target="https://www.linkedin.com/company/aris_eth/" TargetMode="External"/><Relationship Id="rId354" Type="http://schemas.openxmlformats.org/officeDocument/2006/relationships/hyperlink" Target="https://www.rls.si/eng/news/kameleon/" TargetMode="External"/><Relationship Id="rId51" Type="http://schemas.openxmlformats.org/officeDocument/2006/relationships/hyperlink" Target="https://www.instagram.com/epfl_xplore/" TargetMode="External"/><Relationship Id="rId72" Type="http://schemas.openxmlformats.org/officeDocument/2006/relationships/hyperlink" Target="https://www.spaceteamaachen.de/projects/rover" TargetMode="External"/><Relationship Id="rId93" Type="http://schemas.openxmlformats.org/officeDocument/2006/relationships/hyperlink" Target="https://www.instagram.com/argo_srt/" TargetMode="External"/><Relationship Id="rId189" Type="http://schemas.openxmlformats.org/officeDocument/2006/relationships/hyperlink" Target="https://www.facebook.com/projectphos/" TargetMode="External"/><Relationship Id="rId375" Type="http://schemas.openxmlformats.org/officeDocument/2006/relationships/hyperlink" Target="https://www.esiea.fr/associations/airesiea/" TargetMode="External"/><Relationship Id="rId396" Type="http://schemas.openxmlformats.org/officeDocument/2006/relationships/hyperlink" Target="https://www.linkedin.com/company/aerospace-team-graz" TargetMode="External"/><Relationship Id="rId3" Type="http://schemas.openxmlformats.org/officeDocument/2006/relationships/hyperlink" Target="https://www.instagram.com/tars.upv" TargetMode="External"/><Relationship Id="rId214" Type="http://schemas.openxmlformats.org/officeDocument/2006/relationships/hyperlink" Target="https://strathseds.org/" TargetMode="External"/><Relationship Id="rId235" Type="http://schemas.openxmlformats.org/officeDocument/2006/relationships/hyperlink" Target="https://www.linkedin.com/company/chaos-bexus" TargetMode="External"/><Relationship Id="rId256" Type="http://schemas.openxmlformats.org/officeDocument/2006/relationships/hyperlink" Target="https://www.facebook.com/HEDGEHOG.REXUS.Project/" TargetMode="External"/><Relationship Id="rId277" Type="http://schemas.openxmlformats.org/officeDocument/2006/relationships/hyperlink" Target="https://blogs.upm.es/herccules/wp-content/uploads/sites/979/2022/01/HERCCULES_BEXUS_MainPresentation.pdf" TargetMode="External"/><Relationship Id="rId298" Type="http://schemas.openxmlformats.org/officeDocument/2006/relationships/hyperlink" Target="https://kt.cern/aerospace/celesta" TargetMode="External"/><Relationship Id="rId400" Type="http://schemas.openxmlformats.org/officeDocument/2006/relationships/hyperlink" Target="https://www.endeavourockets.com/" TargetMode="External"/><Relationship Id="rId421" Type="http://schemas.openxmlformats.org/officeDocument/2006/relationships/hyperlink" Target="https://usnhorizon.no/" TargetMode="External"/><Relationship Id="rId116" Type="http://schemas.openxmlformats.org/officeDocument/2006/relationships/hyperlink" Target="https://www.facebook.com/profile.php?id=61553521377963" TargetMode="External"/><Relationship Id="rId137" Type="http://schemas.openxmlformats.org/officeDocument/2006/relationships/hyperlink" Target="https://er-ig.de/" TargetMode="External"/><Relationship Id="rId158" Type="http://schemas.openxmlformats.org/officeDocument/2006/relationships/hyperlink" Target="https://com.uvigo.es/en/research/satellites/" TargetMode="External"/><Relationship Id="rId302" Type="http://schemas.openxmlformats.org/officeDocument/2006/relationships/hyperlink" Target="https://istsat-one.tecnico.ulisboa.pt/~istsat-one.daemon/" TargetMode="External"/><Relationship Id="rId323" Type="http://schemas.openxmlformats.org/officeDocument/2006/relationships/hyperlink" Target="https://www.instagram.com/j2050_space/" TargetMode="External"/><Relationship Id="rId344" Type="http://schemas.openxmlformats.org/officeDocument/2006/relationships/hyperlink" Target="https://www.linkedin.com/company/pucra-upcc/" TargetMode="External"/><Relationship Id="rId20" Type="http://schemas.openxmlformats.org/officeDocument/2006/relationships/hyperlink" Target="https://www.linkedin.com/company/beyond-orbit" TargetMode="External"/><Relationship Id="rId41" Type="http://schemas.openxmlformats.org/officeDocument/2006/relationships/hyperlink" Target="https://www.instagram.com/pl_raptors" TargetMode="External"/><Relationship Id="rId62" Type="http://schemas.openxmlformats.org/officeDocument/2006/relationships/hyperlink" Target="https://www.fhnw.ch/rover" TargetMode="External"/><Relationship Id="rId83" Type="http://schemas.openxmlformats.org/officeDocument/2006/relationships/hyperlink" Target="https://www.scorpio.pwr.edu.pl/en/main-page/" TargetMode="External"/><Relationship Id="rId179" Type="http://schemas.openxmlformats.org/officeDocument/2006/relationships/hyperlink" Target="https://www.facebook.com/ub.space.rexus/" TargetMode="External"/><Relationship Id="rId365" Type="http://schemas.openxmlformats.org/officeDocument/2006/relationships/hyperlink" Target="https://www.instagram.com/project_marsworks/" TargetMode="External"/><Relationship Id="rId386" Type="http://schemas.openxmlformats.org/officeDocument/2006/relationships/hyperlink" Target="http://www.linkedin.com/company/cosmicresearch/" TargetMode="External"/><Relationship Id="rId190" Type="http://schemas.openxmlformats.org/officeDocument/2006/relationships/hyperlink" Target="https://www.facebook.com/bexushacord/photos/" TargetMode="External"/><Relationship Id="rId204" Type="http://schemas.openxmlformats.org/officeDocument/2006/relationships/hyperlink" Target="https://www.facebook.com/WarwickUniversitySatellite/" TargetMode="External"/><Relationship Id="rId225" Type="http://schemas.openxmlformats.org/officeDocument/2006/relationships/hyperlink" Target="https://www.facebook.com/Lodestar-BEXUS-Project-2031787173527972/" TargetMode="External"/><Relationship Id="rId246" Type="http://schemas.openxmlformats.org/officeDocument/2006/relationships/hyperlink" Target="https://develop.pr4.space/" TargetMode="External"/><Relationship Id="rId267" Type="http://schemas.openxmlformats.org/officeDocument/2006/relationships/hyperlink" Target="https://de.linkedin.com/company/project-persis" TargetMode="External"/><Relationship Id="rId288" Type="http://schemas.openxmlformats.org/officeDocument/2006/relationships/hyperlink" Target="https://discosat.dk/" TargetMode="External"/><Relationship Id="rId411" Type="http://schemas.openxmlformats.org/officeDocument/2006/relationships/hyperlink" Target="https://rocketlab.pl/" TargetMode="External"/><Relationship Id="rId106" Type="http://schemas.openxmlformats.org/officeDocument/2006/relationships/hyperlink" Target="https://www.instagram.com/polispacepolimi/" TargetMode="External"/><Relationship Id="rId127" Type="http://schemas.openxmlformats.org/officeDocument/2006/relationships/hyperlink" Target="http://rover.vsb.cz/" TargetMode="External"/><Relationship Id="rId313" Type="http://schemas.openxmlformats.org/officeDocument/2006/relationships/hyperlink" Target="https://twitter.com/UCAnFly_ES" TargetMode="External"/><Relationship Id="rId10" Type="http://schemas.openxmlformats.org/officeDocument/2006/relationships/hyperlink" Target="https://www.linkedin.com/company/frankfurt-robotics-science-team/" TargetMode="External"/><Relationship Id="rId31" Type="http://schemas.openxmlformats.org/officeDocument/2006/relationships/hyperlink" Target="https://www.instagram.com/aghspacesystems/" TargetMode="External"/><Relationship Id="rId52" Type="http://schemas.openxmlformats.org/officeDocument/2006/relationships/hyperlink" Target="https://www.linkedin.com/company/imperial-planetary-robotics-lab" TargetMode="External"/><Relationship Id="rId73" Type="http://schemas.openxmlformats.org/officeDocument/2006/relationships/hyperlink" Target="https://de.linkedin.com/company/space-team-aachen" TargetMode="External"/><Relationship Id="rId94" Type="http://schemas.openxmlformats.org/officeDocument/2006/relationships/hyperlink" Target="https://ujiroboticsteam.wixsite.com/uji-robotics-team" TargetMode="External"/><Relationship Id="rId148" Type="http://schemas.openxmlformats.org/officeDocument/2006/relationships/hyperlink" Target="https://www.cubesatpolito.com/" TargetMode="External"/><Relationship Id="rId169" Type="http://schemas.openxmlformats.org/officeDocument/2006/relationships/hyperlink" Target="https://raptex.wordpress.com/" TargetMode="External"/><Relationship Id="rId334" Type="http://schemas.openxmlformats.org/officeDocument/2006/relationships/hyperlink" Target="https://uvigospacelab.space/" TargetMode="External"/><Relationship Id="rId355" Type="http://schemas.openxmlformats.org/officeDocument/2006/relationships/hyperlink" Target="https://skorp.zut.edu.pl/" TargetMode="External"/><Relationship Id="rId376" Type="http://schemas.openxmlformats.org/officeDocument/2006/relationships/hyperlink" Target="https://spaceteam.at/" TargetMode="External"/><Relationship Id="rId397" Type="http://schemas.openxmlformats.org/officeDocument/2006/relationships/hyperlink" Target="https://epflrocketteam.ch/" TargetMode="External"/><Relationship Id="rId4" Type="http://schemas.openxmlformats.org/officeDocument/2006/relationships/hyperlink" Target="https://www.linkedin.com/company/105258034/admin/dashboard/" TargetMode="External"/><Relationship Id="rId180" Type="http://schemas.openxmlformats.org/officeDocument/2006/relationships/hyperlink" Target="https://imfex.space/" TargetMode="External"/><Relationship Id="rId215" Type="http://schemas.openxmlformats.org/officeDocument/2006/relationships/hyperlink" Target="https://www.facebook.com/StrathSEDS/" TargetMode="External"/><Relationship Id="rId236" Type="http://schemas.openxmlformats.org/officeDocument/2006/relationships/hyperlink" Target="https://www.instagram.com/chaos.bexus" TargetMode="External"/><Relationship Id="rId257" Type="http://schemas.openxmlformats.org/officeDocument/2006/relationships/hyperlink" Target="https://beamproject.gr/" TargetMode="External"/><Relationship Id="rId278" Type="http://schemas.openxmlformats.org/officeDocument/2006/relationships/hyperlink" Target="https://www.instagram.com/spacis.bexus/" TargetMode="External"/><Relationship Id="rId401" Type="http://schemas.openxmlformats.org/officeDocument/2006/relationships/hyperlink" Target="https://skywarder.eu/" TargetMode="External"/><Relationship Id="rId422" Type="http://schemas.openxmlformats.org/officeDocument/2006/relationships/hyperlink" Target="https://igniteuit.no/" TargetMode="External"/><Relationship Id="rId303" Type="http://schemas.openxmlformats.org/officeDocument/2006/relationships/hyperlink" Target="https://twitter.com/istsat_one" TargetMode="External"/><Relationship Id="rId42" Type="http://schemas.openxmlformats.org/officeDocument/2006/relationships/hyperlink" Target="https://4space.es/" TargetMode="External"/><Relationship Id="rId84" Type="http://schemas.openxmlformats.org/officeDocument/2006/relationships/hyperlink" Target="https://www.linkedin.com/company/projekt-scorpio/" TargetMode="External"/><Relationship Id="rId138" Type="http://schemas.openxmlformats.org/officeDocument/2006/relationships/hyperlink" Target="https://de.linkedin.com/company/er-ig" TargetMode="External"/><Relationship Id="rId345" Type="http://schemas.openxmlformats.org/officeDocument/2006/relationships/hyperlink" Target="https://www.instagram.com/almax.rover/" TargetMode="External"/><Relationship Id="rId387" Type="http://schemas.openxmlformats.org/officeDocument/2006/relationships/hyperlink" Target="https://red.aerotec.pt/" TargetMode="External"/><Relationship Id="rId191" Type="http://schemas.openxmlformats.org/officeDocument/2006/relationships/hyperlink" Target="https://www.instagram.com/projectfrede/" TargetMode="External"/><Relationship Id="rId205" Type="http://schemas.openxmlformats.org/officeDocument/2006/relationships/hyperlink" Target="https://vespe-jena.de/" TargetMode="External"/><Relationship Id="rId247" Type="http://schemas.openxmlformats.org/officeDocument/2006/relationships/hyperlink" Target="https://www.facebook.com/PR4space/" TargetMode="External"/><Relationship Id="rId412" Type="http://schemas.openxmlformats.org/officeDocument/2006/relationships/hyperlink" Target="https://www.instagram.com/putrocketlab/" TargetMode="External"/><Relationship Id="rId107" Type="http://schemas.openxmlformats.org/officeDocument/2006/relationships/hyperlink" Target="https://spacerobotics.es.aau.dk/" TargetMode="External"/><Relationship Id="rId289" Type="http://schemas.openxmlformats.org/officeDocument/2006/relationships/hyperlink" Target="https://uk.linkedin.com/company/project-svarog-icl" TargetMode="External"/><Relationship Id="rId11" Type="http://schemas.openxmlformats.org/officeDocument/2006/relationships/hyperlink" Target="https://www.instagram.com/frost_fra_uas/" TargetMode="External"/><Relationship Id="rId53" Type="http://schemas.openxmlformats.org/officeDocument/2006/relationships/hyperlink" Target="https://www.instagram.com/icrobotics/" TargetMode="External"/><Relationship Id="rId149" Type="http://schemas.openxmlformats.org/officeDocument/2006/relationships/hyperlink" Target="https://www.esa.int/Education/Meet_the_teams_Goliat" TargetMode="External"/><Relationship Id="rId314" Type="http://schemas.openxmlformats.org/officeDocument/2006/relationships/hyperlink" Target="https://es.linkedin.com/company/ucanfly" TargetMode="External"/><Relationship Id="rId356" Type="http://schemas.openxmlformats.org/officeDocument/2006/relationships/hyperlink" Target="https://pl.linkedin.com/company/studenckie-ko%C5%82o-naukowe-robotyki-praktycznej-skorp" TargetMode="External"/><Relationship Id="rId398" Type="http://schemas.openxmlformats.org/officeDocument/2006/relationships/hyperlink" Target="https://students.2space.ro/" TargetMode="External"/><Relationship Id="rId95" Type="http://schemas.openxmlformats.org/officeDocument/2006/relationships/hyperlink" Target="https://www.linkedin.com/company/uji-robotics-team/" TargetMode="External"/><Relationship Id="rId160" Type="http://schemas.openxmlformats.org/officeDocument/2006/relationships/hyperlink" Target="https://www.iteam.upv.es/project/diseno-integracion-verificacion-lanzamiento-y-operaciones-de-un-cubesat-para-aplicaciones-de-astrofisica-y-observacion-de-la-tierra-politech-1/" TargetMode="External"/><Relationship Id="rId216" Type="http://schemas.openxmlformats.org/officeDocument/2006/relationships/hyperlink" Target="https://www.instagram.com/StrathSEDS/" TargetMode="External"/><Relationship Id="rId423" Type="http://schemas.openxmlformats.org/officeDocument/2006/relationships/hyperlink" Target="https://www.propulse.no/" TargetMode="External"/><Relationship Id="rId258" Type="http://schemas.openxmlformats.org/officeDocument/2006/relationships/hyperlink" Target="https://www.facebook.com/beamauth" TargetMode="External"/><Relationship Id="rId22" Type="http://schemas.openxmlformats.org/officeDocument/2006/relationships/hyperlink" Target="https://www.teamdiana.it/" TargetMode="External"/><Relationship Id="rId64" Type="http://schemas.openxmlformats.org/officeDocument/2006/relationships/hyperlink" Target="https://www.instagram.com/fhnw.rover/" TargetMode="External"/><Relationship Id="rId118" Type="http://schemas.openxmlformats.org/officeDocument/2006/relationships/hyperlink" Target="https://www.facebook.com/pczroverteam" TargetMode="External"/><Relationship Id="rId325" Type="http://schemas.openxmlformats.org/officeDocument/2006/relationships/hyperlink" Target="https://stem.elearning.unipd.it/course/view.php?id=5488" TargetMode="External"/><Relationship Id="rId367" Type="http://schemas.openxmlformats.org/officeDocument/2006/relationships/hyperlink" Target="https://www.instagram.com/roboclyde_/" TargetMode="External"/><Relationship Id="rId171" Type="http://schemas.openxmlformats.org/officeDocument/2006/relationships/hyperlink" Target="https://www.instagram.com/bexus.aresonus/" TargetMode="External"/><Relationship Id="rId227" Type="http://schemas.openxmlformats.org/officeDocument/2006/relationships/hyperlink" Target="https://www.facebook.com/rexusMore/" TargetMode="External"/><Relationship Id="rId269" Type="http://schemas.openxmlformats.org/officeDocument/2006/relationships/hyperlink" Target="https://www.mass-bexus.eu/about" TargetMode="External"/><Relationship Id="rId33" Type="http://schemas.openxmlformats.org/officeDocument/2006/relationships/hyperlink" Target="https://www.linkedin.com/company/knr-pw" TargetMode="External"/><Relationship Id="rId129" Type="http://schemas.openxmlformats.org/officeDocument/2006/relationships/hyperlink" Target="https://www.instagram.com/team_roverova" TargetMode="External"/><Relationship Id="rId280" Type="http://schemas.openxmlformats.org/officeDocument/2006/relationships/hyperlink" Target="https://www.facebook.com/people/Raptex/100063789030082/" TargetMode="External"/><Relationship Id="rId336" Type="http://schemas.openxmlformats.org/officeDocument/2006/relationships/hyperlink" Target="https://www.instagram.com/uvigospacelab/reels/" TargetMode="External"/><Relationship Id="rId75" Type="http://schemas.openxmlformats.org/officeDocument/2006/relationships/hyperlink" Target="https://spacelab.uni-obuda.hu/ourover-team/" TargetMode="External"/><Relationship Id="rId140" Type="http://schemas.openxmlformats.org/officeDocument/2006/relationships/hyperlink" Target="https://www.facebook.com/groups/554383733468485" TargetMode="External"/><Relationship Id="rId182" Type="http://schemas.openxmlformats.org/officeDocument/2006/relationships/hyperlink" Target="https://www.facebook.com/bxcospa/" TargetMode="External"/><Relationship Id="rId378" Type="http://schemas.openxmlformats.org/officeDocument/2006/relationships/hyperlink" Target="https://www.instagram.com/tuwienspaceteam" TargetMode="External"/><Relationship Id="rId403" Type="http://schemas.openxmlformats.org/officeDocument/2006/relationships/hyperlink" Target="https://suborbitals.bme.hu/en/" TargetMode="External"/><Relationship Id="rId6" Type="http://schemas.openxmlformats.org/officeDocument/2006/relationships/hyperlink" Target="https://www.bears-space.de/" TargetMode="External"/><Relationship Id="rId238" Type="http://schemas.openxmlformats.org/officeDocument/2006/relationships/hyperlink" Target="https://www.facebook.com/people/REXUS-FLOMESS/100080374551470/" TargetMode="External"/><Relationship Id="rId291" Type="http://schemas.openxmlformats.org/officeDocument/2006/relationships/hyperlink" Target="https://www.instagram.com/p/DHG8mvIo3Ym/" TargetMode="External"/><Relationship Id="rId305" Type="http://schemas.openxmlformats.org/officeDocument/2006/relationships/hyperlink" Target="https://www.instagram.com/istsat_one/" TargetMode="External"/><Relationship Id="rId347" Type="http://schemas.openxmlformats.org/officeDocument/2006/relationships/hyperlink" Target="https://stem.elearning.unipd.it/enrol/index.php?id=5486" TargetMode="External"/><Relationship Id="rId44" Type="http://schemas.openxmlformats.org/officeDocument/2006/relationships/hyperlink" Target="https://www.linkedin.com/company/4spaceuniovi" TargetMode="External"/><Relationship Id="rId86" Type="http://schemas.openxmlformats.org/officeDocument/2006/relationships/hyperlink" Target="https://www.instagram.com/kra_uw/" TargetMode="External"/><Relationship Id="rId151" Type="http://schemas.openxmlformats.org/officeDocument/2006/relationships/hyperlink" Target="https://csum.umontpellier.fr/" TargetMode="External"/><Relationship Id="rId389" Type="http://schemas.openxmlformats.org/officeDocument/2006/relationships/hyperlink" Target="https://www.instagram.com/aerotec.red" TargetMode="External"/><Relationship Id="rId193" Type="http://schemas.openxmlformats.org/officeDocument/2006/relationships/hyperlink" Target="https://www.kthaero.com/about" TargetMode="External"/><Relationship Id="rId207" Type="http://schemas.openxmlformats.org/officeDocument/2006/relationships/hyperlink" Target="https://www.facebook.com/" TargetMode="External"/><Relationship Id="rId249" Type="http://schemas.openxmlformats.org/officeDocument/2006/relationships/hyperlink" Target="https://www.linkedin.com/company/pr4-space" TargetMode="External"/><Relationship Id="rId414" Type="http://schemas.openxmlformats.org/officeDocument/2006/relationships/hyperlink" Target="https://www.politorocketteam.it/" TargetMode="External"/><Relationship Id="rId13" Type="http://schemas.openxmlformats.org/officeDocument/2006/relationships/hyperlink" Target="https://www.linkedin.com/company/star-dresden/" TargetMode="External"/><Relationship Id="rId109" Type="http://schemas.openxmlformats.org/officeDocument/2006/relationships/hyperlink" Target="https://www.linkedin.com/company/kn-cybair/?originalSubdomain=pl" TargetMode="External"/><Relationship Id="rId260" Type="http://schemas.openxmlformats.org/officeDocument/2006/relationships/hyperlink" Target="https://gr.linkedin.com/company/beam-beyond-earth-aritotle-missions" TargetMode="External"/><Relationship Id="rId316" Type="http://schemas.openxmlformats.org/officeDocument/2006/relationships/hyperlink" Target="https://fi.linkedin.com/company/aalto-satellites" TargetMode="External"/><Relationship Id="rId55" Type="http://schemas.openxmlformats.org/officeDocument/2006/relationships/hyperlink" Target="https://www.linkedin.com/company/brnomarsrover" TargetMode="External"/><Relationship Id="rId97" Type="http://schemas.openxmlformats.org/officeDocument/2006/relationships/hyperlink" Target="https://www.linkedin.com/company/makercie-rug/about/" TargetMode="External"/><Relationship Id="rId120" Type="http://schemas.openxmlformats.org/officeDocument/2006/relationships/hyperlink" Target="https://www.instagram.com/pczroverteam/" TargetMode="External"/><Relationship Id="rId358" Type="http://schemas.openxmlformats.org/officeDocument/2006/relationships/hyperlink" Target="https://www.facebook.com/uwroverteam/" TargetMode="External"/><Relationship Id="rId162" Type="http://schemas.openxmlformats.org/officeDocument/2006/relationships/hyperlink" Target="https://www.eirsat1.ie/" TargetMode="External"/><Relationship Id="rId218" Type="http://schemas.openxmlformats.org/officeDocument/2006/relationships/hyperlink" Target="https://de.linkedin.com/in/atmohitrexus" TargetMode="External"/><Relationship Id="rId425" Type="http://schemas.openxmlformats.org/officeDocument/2006/relationships/hyperlink" Target="https://www.leemupm.com/" TargetMode="External"/><Relationship Id="rId271" Type="http://schemas.openxmlformats.org/officeDocument/2006/relationships/hyperlink" Target="https://dare.tudelft.nl/" TargetMode="External"/><Relationship Id="rId24" Type="http://schemas.openxmlformats.org/officeDocument/2006/relationships/hyperlink" Target="https://www.linkedin.com/school/teamdiana/" TargetMode="External"/><Relationship Id="rId66" Type="http://schemas.openxmlformats.org/officeDocument/2006/relationships/hyperlink" Target="https://www.linkedin.com/company/ctu-robotics/" TargetMode="External"/><Relationship Id="rId131" Type="http://schemas.openxmlformats.org/officeDocument/2006/relationships/hyperlink" Target="http://goldilocks.bstsrhberlin.com/" TargetMode="External"/><Relationship Id="rId327" Type="http://schemas.openxmlformats.org/officeDocument/2006/relationships/hyperlink" Target="https://www.instagram.com/albacubesat/" TargetMode="External"/><Relationship Id="rId369" Type="http://schemas.openxmlformats.org/officeDocument/2006/relationships/hyperlink" Target="https://www.instagram.com/hive_hua/" TargetMode="External"/><Relationship Id="rId173" Type="http://schemas.openxmlformats.org/officeDocument/2006/relationships/hyperlink" Target="https://x.com/ehuspace" TargetMode="External"/><Relationship Id="rId229" Type="http://schemas.openxmlformats.org/officeDocument/2006/relationships/hyperlink" Target="https://www.instagram.com/micro__moon/" TargetMode="External"/><Relationship Id="rId380" Type="http://schemas.openxmlformats.org/officeDocument/2006/relationships/hyperlink" Target="https://www.facebook.com/biskyteam" TargetMode="External"/><Relationship Id="rId240" Type="http://schemas.openxmlformats.org/officeDocument/2006/relationships/hyperlink" Target="https://www.instagram.com/irocs.bexus/" TargetMode="External"/><Relationship Id="rId35" Type="http://schemas.openxmlformats.org/officeDocument/2006/relationships/hyperlink" Target="https://ska.pw.edu.pl/" TargetMode="External"/><Relationship Id="rId77" Type="http://schemas.openxmlformats.org/officeDocument/2006/relationships/hyperlink" Target="https://www.facebook.com/BekkerTeam/" TargetMode="External"/><Relationship Id="rId100" Type="http://schemas.openxmlformats.org/officeDocument/2006/relationships/hyperlink" Target="https://www.instagram.com/teambathroving/" TargetMode="External"/><Relationship Id="rId282" Type="http://schemas.openxmlformats.org/officeDocument/2006/relationships/hyperlink" Target="https://rospin.org/" TargetMode="External"/><Relationship Id="rId338" Type="http://schemas.openxmlformats.org/officeDocument/2006/relationships/hyperlink" Target="https://robotik.dfki-bremen.de/fileadmin/content/ric/teaching/thoro/Projektblatt_RIC_Uni.pdf" TargetMode="External"/><Relationship Id="rId8" Type="http://schemas.openxmlformats.org/officeDocument/2006/relationships/hyperlink" Target="https://www.instagram.com/bears.space/" TargetMode="External"/><Relationship Id="rId142" Type="http://schemas.openxmlformats.org/officeDocument/2006/relationships/hyperlink" Target="https://www.facebook.com/MarsRoverFUMAR" TargetMode="External"/><Relationship Id="rId184" Type="http://schemas.openxmlformats.org/officeDocument/2006/relationships/hyperlink" Target="http://instagram.com/warr.tum" TargetMode="External"/><Relationship Id="rId391" Type="http://schemas.openxmlformats.org/officeDocument/2006/relationships/hyperlink" Target="https://noticias.up.pt/2020/12/08/estudantes-da-feup-criam-rocket-que-desafia-limites-dos-ceus/" TargetMode="External"/><Relationship Id="rId405" Type="http://schemas.openxmlformats.org/officeDocument/2006/relationships/hyperlink" Target="https://www.instagram.com/faradayupv/?hl=es" TargetMode="External"/><Relationship Id="rId251" Type="http://schemas.openxmlformats.org/officeDocument/2006/relationships/hyperlink" Target="https://www.facebook.com/ARESteam.rexus/" TargetMode="External"/><Relationship Id="rId46" Type="http://schemas.openxmlformats.org/officeDocument/2006/relationships/hyperlink" Target="https://www.upcprogram.space/" TargetMode="External"/><Relationship Id="rId293" Type="http://schemas.openxmlformats.org/officeDocument/2006/relationships/hyperlink" Target="https://auxspace.de/" TargetMode="External"/><Relationship Id="rId307" Type="http://schemas.openxmlformats.org/officeDocument/2006/relationships/hyperlink" Target="https://www.facebook.com/UoSSmallSatellite/" TargetMode="External"/><Relationship Id="rId349" Type="http://schemas.openxmlformats.org/officeDocument/2006/relationships/hyperlink" Target="https://www.facebook.com/roverteampb/" TargetMode="External"/><Relationship Id="rId88" Type="http://schemas.openxmlformats.org/officeDocument/2006/relationships/hyperlink" Target="https://www.linkedin.com/company/shobolinsky/" TargetMode="External"/><Relationship Id="rId111" Type="http://schemas.openxmlformats.org/officeDocument/2006/relationships/hyperlink" Target="https://www.instagram.com/nspace_team/" TargetMode="External"/><Relationship Id="rId153" Type="http://schemas.openxmlformats.org/officeDocument/2006/relationships/hyperlink" Target="https://www.linkedin.com/company/supaeromoon/" TargetMode="External"/><Relationship Id="rId195" Type="http://schemas.openxmlformats.org/officeDocument/2006/relationships/hyperlink" Target="https://orbitntnu.com/" TargetMode="External"/><Relationship Id="rId209" Type="http://schemas.openxmlformats.org/officeDocument/2006/relationships/hyperlink" Target="https://enginyeriafisica.etsetb.upc.edu/ca/noticies/estudiants-del-grau-en-enginyeria-fisica-experimenten-amb-muons-a-lestratosfera" TargetMode="External"/><Relationship Id="rId360" Type="http://schemas.openxmlformats.org/officeDocument/2006/relationships/hyperlink" Target="https://cranseds.co.uk/" TargetMode="External"/><Relationship Id="rId416" Type="http://schemas.openxmlformats.org/officeDocument/2006/relationships/hyperlink" Target="https://www.aesir.se/" TargetMode="External"/><Relationship Id="rId220" Type="http://schemas.openxmlformats.org/officeDocument/2006/relationships/hyperlink" Target="https://www.facebook.com/nemesysbexusproject/" TargetMode="External"/><Relationship Id="rId15" Type="http://schemas.openxmlformats.org/officeDocument/2006/relationships/hyperlink" Target="https://warr.de/" TargetMode="External"/><Relationship Id="rId57" Type="http://schemas.openxmlformats.org/officeDocument/2006/relationships/hyperlink" Target="https://www.sasa-aerospace.it/tech-team/" TargetMode="External"/><Relationship Id="rId262" Type="http://schemas.openxmlformats.org/officeDocument/2006/relationships/hyperlink" Target="https://spacedot.gr/" TargetMode="External"/><Relationship Id="rId318" Type="http://schemas.openxmlformats.org/officeDocument/2006/relationships/hyperlink" Target="https://www.iteam.upv.es/project/diseno-integracion-verificacion-lanzamiento-y-operaciones-de-un-cubesat-para-aplicaciones-de-astrofisica-y-observacion-de-la-tierra-politech-1/" TargetMode="External"/><Relationship Id="rId99" Type="http://schemas.openxmlformats.org/officeDocument/2006/relationships/hyperlink" Target="https://www.linkedin.com/company/team-bath-roving/" TargetMode="External"/><Relationship Id="rId122" Type="http://schemas.openxmlformats.org/officeDocument/2006/relationships/hyperlink" Target="https://www.linkedin.com/company/legendary-rover-team" TargetMode="External"/><Relationship Id="rId164" Type="http://schemas.openxmlformats.org/officeDocument/2006/relationships/hyperlink" Target="https://twitter.com/eirsat1" TargetMode="External"/><Relationship Id="rId371" Type="http://schemas.openxmlformats.org/officeDocument/2006/relationships/hyperlink" Target="https://danstar.dk/" TargetMode="External"/><Relationship Id="rId427" Type="http://schemas.openxmlformats.org/officeDocument/2006/relationships/hyperlink" Target="https://sunride.space/" TargetMode="External"/><Relationship Id="rId26" Type="http://schemas.openxmlformats.org/officeDocument/2006/relationships/hyperlink" Target="https://projectred.it/" TargetMode="External"/><Relationship Id="rId231" Type="http://schemas.openxmlformats.org/officeDocument/2006/relationships/hyperlink" Target="https://www.facebook.com/blackbox2RX27/" TargetMode="External"/><Relationship Id="rId273" Type="http://schemas.openxmlformats.org/officeDocument/2006/relationships/hyperlink" Target="https://www.facebook.com/daretudelft/" TargetMode="External"/><Relationship Id="rId329" Type="http://schemas.openxmlformats.org/officeDocument/2006/relationships/hyperlink" Target="https://jcuvac.ucm.es/ESH-CURSO-ESPACIO-2025/PDFs/Leccion4.Andres_Marcos.Parte2.pdf" TargetMode="External"/><Relationship Id="rId68" Type="http://schemas.openxmlformats.org/officeDocument/2006/relationships/hyperlink" Target="https://er-ig.de/" TargetMode="External"/><Relationship Id="rId133" Type="http://schemas.openxmlformats.org/officeDocument/2006/relationships/hyperlink" Target="https://www.instagram.com/morpheusunipd/" TargetMode="External"/><Relationship Id="rId175" Type="http://schemas.openxmlformats.org/officeDocument/2006/relationships/hyperlink" Target="https://www.facebook.com/wuespace/" TargetMode="External"/><Relationship Id="rId340" Type="http://schemas.openxmlformats.org/officeDocument/2006/relationships/hyperlink" Target="https://www.linkedin.com/company/aries-space" TargetMode="External"/><Relationship Id="rId200" Type="http://schemas.openxmlformats.org/officeDocument/2006/relationships/hyperlink" Target="https://www.facebook.com/project.teller.rexus/" TargetMode="External"/><Relationship Id="rId382" Type="http://schemas.openxmlformats.org/officeDocument/2006/relationships/hyperlink" Target="https://www.instagram.com/bisky_team/" TargetMode="External"/><Relationship Id="rId242" Type="http://schemas.openxmlformats.org/officeDocument/2006/relationships/hyperlink" Target="https://destiny.binets.fr/" TargetMode="External"/><Relationship Id="rId284" Type="http://schemas.openxmlformats.org/officeDocument/2006/relationships/hyperlink" Target="https://de.linkedin.com/company/spicybexus" TargetMode="External"/><Relationship Id="rId37" Type="http://schemas.openxmlformats.org/officeDocument/2006/relationships/hyperlink" Target="https://www.instagram.com/ska_pw/" TargetMode="External"/><Relationship Id="rId79" Type="http://schemas.openxmlformats.org/officeDocument/2006/relationships/hyperlink" Target="https://x.com/NewTechHorizon" TargetMode="External"/><Relationship Id="rId102" Type="http://schemas.openxmlformats.org/officeDocument/2006/relationships/hyperlink" Target="https://www.linkedin.com/company/uclracing/posts/?feedView=all" TargetMode="External"/><Relationship Id="rId144" Type="http://schemas.openxmlformats.org/officeDocument/2006/relationships/hyperlink" Target="https://instagram.com/egderover" TargetMode="External"/><Relationship Id="rId90" Type="http://schemas.openxmlformats.org/officeDocument/2006/relationships/hyperlink" Target="https://argorobotics.rs/" TargetMode="External"/><Relationship Id="rId186" Type="http://schemas.openxmlformats.org/officeDocument/2006/relationships/hyperlink" Target="https://www.facebook.com/warr.tum/" TargetMode="External"/><Relationship Id="rId351" Type="http://schemas.openxmlformats.org/officeDocument/2006/relationships/hyperlink" Target="https://astropk.pl/" TargetMode="External"/><Relationship Id="rId393" Type="http://schemas.openxmlformats.org/officeDocument/2006/relationships/hyperlink" Target="https://astg.at/" TargetMode="External"/><Relationship Id="rId407" Type="http://schemas.openxmlformats.org/officeDocument/2006/relationships/hyperlink" Target="https://hyend.de/" TargetMode="External"/><Relationship Id="rId211" Type="http://schemas.openxmlformats.org/officeDocument/2006/relationships/hyperlink" Target="https://be.linkedin.com/company/oscarproject" TargetMode="External"/><Relationship Id="rId253" Type="http://schemas.openxmlformats.org/officeDocument/2006/relationships/hyperlink" Target="https://www.facebook.com/SimLEpl" TargetMode="External"/><Relationship Id="rId295" Type="http://schemas.openxmlformats.org/officeDocument/2006/relationships/hyperlink" Target="https://www.academia.edu/17038639/Educational_Benefits_and_Challenges_for_the_Norwegian_Student_Satellite_Program" TargetMode="External"/><Relationship Id="rId309" Type="http://schemas.openxmlformats.org/officeDocument/2006/relationships/hyperlink" Target="https://uosdesign.org/designshow2020/project/uos-small-satellite/" TargetMode="External"/><Relationship Id="rId48" Type="http://schemas.openxmlformats.org/officeDocument/2006/relationships/hyperlink" Target="https://www.linkedin.com/company/upc-space-program/posts/?feedView=all" TargetMode="External"/><Relationship Id="rId113" Type="http://schemas.openxmlformats.org/officeDocument/2006/relationships/hyperlink" Target="https://www.instagram.com/stl_elte/?igsh=MTd6Nm14cGFmZWx1Ng%3D%3D" TargetMode="External"/><Relationship Id="rId320" Type="http://schemas.openxmlformats.org/officeDocument/2006/relationships/hyperlink" Target="https://www.instagram.com/uobsatelliteteam/" TargetMode="External"/><Relationship Id="rId155" Type="http://schemas.openxmlformats.org/officeDocument/2006/relationships/hyperlink" Target="https://csum.umontpellier.fr/" TargetMode="External"/><Relationship Id="rId197" Type="http://schemas.openxmlformats.org/officeDocument/2006/relationships/hyperlink" Target="https://www.linkedin.com/company/orbit-ntnu" TargetMode="External"/><Relationship Id="rId362" Type="http://schemas.openxmlformats.org/officeDocument/2006/relationships/hyperlink" Target="https://www.instagram.com/cranseds" TargetMode="External"/><Relationship Id="rId418" Type="http://schemas.openxmlformats.org/officeDocument/2006/relationships/hyperlink" Target="https://www.nottingham.ac.uk/aerospace/space/student-space-programme/space-society/index.aspx" TargetMode="External"/><Relationship Id="rId222" Type="http://schemas.openxmlformats.org/officeDocument/2006/relationships/hyperlink" Target="https://uk.linkedin.com/company/projectsunbyte" TargetMode="External"/><Relationship Id="rId264" Type="http://schemas.openxmlformats.org/officeDocument/2006/relationships/hyperlink" Target="https://www.instagram.com/spacedot.auth/" TargetMode="External"/><Relationship Id="rId17" Type="http://schemas.openxmlformats.org/officeDocument/2006/relationships/hyperlink" Target="https://de.linkedin.com/company/warrtum" TargetMode="External"/><Relationship Id="rId59" Type="http://schemas.openxmlformats.org/officeDocument/2006/relationships/hyperlink" Target="https://www.instagram.com/sapienza_technology_team/" TargetMode="External"/><Relationship Id="rId124" Type="http://schemas.openxmlformats.org/officeDocument/2006/relationships/hyperlink" Target="https://www.river.rospin.org/" TargetMode="External"/><Relationship Id="rId70" Type="http://schemas.openxmlformats.org/officeDocument/2006/relationships/hyperlink" Target="https://www.instagram.com/erig1999/" TargetMode="External"/><Relationship Id="rId166" Type="http://schemas.openxmlformats.org/officeDocument/2006/relationships/hyperlink" Target="https://www.instagram.com/polarix_uit" TargetMode="External"/><Relationship Id="rId331" Type="http://schemas.openxmlformats.org/officeDocument/2006/relationships/hyperlink" Target="https://aris-space.ch/" TargetMode="External"/><Relationship Id="rId373" Type="http://schemas.openxmlformats.org/officeDocument/2006/relationships/hyperlink" Target="https://www.instagram.com/danstardtu/" TargetMode="External"/><Relationship Id="rId429" Type="http://schemas.openxmlformats.org/officeDocument/2006/relationships/hyperlink" Target="https://thenorth.spa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C9A0-6333-4726-AE68-2B1D81328658}">
  <dimension ref="A1:EI239"/>
  <sheetViews>
    <sheetView tabSelected="1" workbookViewId="0">
      <pane xSplit="10" ySplit="2" topLeftCell="K69" activePane="bottomRight" state="frozen"/>
      <selection pane="topRight" activeCell="K1" sqref="K1"/>
      <selection pane="bottomLeft" activeCell="A3" sqref="A3"/>
      <selection pane="bottomRight" activeCell="C84" sqref="C84"/>
    </sheetView>
  </sheetViews>
  <sheetFormatPr baseColWidth="10" defaultRowHeight="14.4"/>
  <cols>
    <col min="1" max="1" width="10.88671875" bestFit="1" customWidth="1"/>
    <col min="2" max="2" width="17.109375" customWidth="1"/>
    <col min="3" max="3" width="10.88671875" customWidth="1"/>
    <col min="4" max="4" width="12.6640625" style="22" customWidth="1"/>
    <col min="5" max="5" width="10.77734375" customWidth="1"/>
    <col min="6" max="6" width="8.5546875" style="20" hidden="1" customWidth="1"/>
    <col min="7" max="7" width="8.33203125" hidden="1" customWidth="1"/>
    <col min="8" max="8" width="8.6640625" hidden="1" customWidth="1"/>
    <col min="9" max="9" width="13" hidden="1" customWidth="1"/>
    <col min="10" max="10" width="16.88671875" style="20" hidden="1" customWidth="1"/>
    <col min="11" max="11" width="8" bestFit="1" customWidth="1"/>
    <col min="12" max="12" width="9.5546875" customWidth="1"/>
    <col min="13" max="13" width="7.5546875" style="22" customWidth="1"/>
    <col min="14" max="14" width="6.44140625" style="22" customWidth="1"/>
    <col min="15" max="15" width="8.88671875" style="22" customWidth="1"/>
    <col min="16" max="16" width="9" style="22" customWidth="1"/>
    <col min="17" max="17" width="7.6640625" style="22" customWidth="1"/>
    <col min="18" max="18" width="16.44140625" style="4" customWidth="1"/>
    <col min="19" max="25" width="5.44140625" hidden="1" customWidth="1"/>
    <col min="26" max="26" width="5.44140625" style="4" hidden="1" customWidth="1"/>
    <col min="27" max="27" width="5.33203125" style="7" hidden="1" customWidth="1"/>
    <col min="28" max="28" width="5.33203125" style="20" hidden="1" customWidth="1"/>
    <col min="29" max="44" width="5.33203125" hidden="1" customWidth="1"/>
    <col min="45" max="45" width="5.33203125" style="4" hidden="1" customWidth="1"/>
    <col min="46" max="46" width="5.33203125" style="7" hidden="1" customWidth="1"/>
    <col min="47" max="47" width="5.33203125" style="20" hidden="1" customWidth="1"/>
    <col min="48" max="49" width="5.33203125" style="7" hidden="1" customWidth="1"/>
    <col min="50" max="50" width="5.33203125" style="4" hidden="1" customWidth="1"/>
    <col min="51" max="55" width="5.44140625" customWidth="1"/>
    <col min="56" max="56" width="5.44140625" style="4" customWidth="1"/>
    <col min="57" max="57" width="5.33203125" style="7" customWidth="1"/>
    <col min="58" max="62" width="5.44140625" customWidth="1"/>
    <col min="63" max="63" width="5.44140625" style="7" customWidth="1"/>
    <col min="64" max="64" width="5.33203125" style="20" customWidth="1"/>
    <col min="65" max="79" width="5.33203125" customWidth="1"/>
    <col min="80" max="80" width="5.33203125" style="4" customWidth="1"/>
    <col min="81" max="81" width="5.33203125" style="7" customWidth="1"/>
    <col min="82" max="82" width="5.6640625" style="20" customWidth="1"/>
    <col min="83" max="97" width="5.6640625" customWidth="1"/>
    <col min="98" max="98" width="5.6640625" style="4" customWidth="1"/>
    <col min="99" max="104" width="5.6640625" customWidth="1"/>
    <col min="105" max="105" width="5.6640625" style="4" customWidth="1"/>
    <col min="106" max="118" width="5.6640625" style="7" customWidth="1"/>
    <col min="119" max="119" width="21.33203125" style="7" bestFit="1" customWidth="1"/>
    <col min="120" max="120" width="20.44140625" style="7" bestFit="1" customWidth="1"/>
    <col min="121" max="121" width="20.33203125" style="7" bestFit="1" customWidth="1"/>
    <col min="122" max="122" width="13.6640625" bestFit="1" customWidth="1"/>
    <col min="123" max="123" width="12.6640625" bestFit="1" customWidth="1"/>
    <col min="124" max="139" width="5.6640625" customWidth="1"/>
  </cols>
  <sheetData>
    <row r="1" spans="1:139">
      <c r="A1" t="s">
        <v>73</v>
      </c>
      <c r="B1" t="s">
        <v>0</v>
      </c>
      <c r="C1" t="s">
        <v>1</v>
      </c>
      <c r="D1" s="22" t="s">
        <v>2</v>
      </c>
      <c r="E1" t="s">
        <v>577</v>
      </c>
      <c r="F1" s="38" t="s">
        <v>3</v>
      </c>
      <c r="G1" s="38"/>
      <c r="H1" s="38"/>
      <c r="I1" s="38"/>
      <c r="M1" s="42" t="s">
        <v>300</v>
      </c>
      <c r="N1" s="42"/>
      <c r="O1" s="42"/>
      <c r="P1" s="42"/>
      <c r="Q1" s="42"/>
      <c r="S1" s="38" t="s">
        <v>12</v>
      </c>
      <c r="T1" s="38"/>
      <c r="U1" s="38"/>
      <c r="V1" s="38"/>
      <c r="W1" s="38"/>
      <c r="X1" s="38"/>
      <c r="Y1" s="38"/>
      <c r="Z1" s="38"/>
      <c r="AA1" s="28" t="s">
        <v>761</v>
      </c>
      <c r="AB1" s="38" t="s">
        <v>297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3" t="s">
        <v>839</v>
      </c>
      <c r="AU1" s="38" t="s">
        <v>298</v>
      </c>
      <c r="AV1" s="38"/>
      <c r="AW1" s="38"/>
      <c r="AX1" s="38"/>
      <c r="AY1" s="38" t="s">
        <v>162</v>
      </c>
      <c r="AZ1" s="38"/>
      <c r="BA1" s="38"/>
      <c r="BB1" s="38"/>
      <c r="BC1" s="38"/>
      <c r="BD1" s="38"/>
      <c r="BE1" s="37" t="s">
        <v>1058</v>
      </c>
      <c r="BF1" s="38" t="s">
        <v>296</v>
      </c>
      <c r="BG1" s="38"/>
      <c r="BH1" s="38"/>
      <c r="BI1" s="38"/>
      <c r="BJ1" s="38"/>
      <c r="BK1" s="38"/>
      <c r="BL1" s="38" t="s">
        <v>295</v>
      </c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21" t="s">
        <v>751</v>
      </c>
      <c r="CD1" s="38" t="s">
        <v>94</v>
      </c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41"/>
      <c r="CU1" s="38" t="s">
        <v>416</v>
      </c>
      <c r="CV1" s="38"/>
      <c r="CW1" s="38"/>
      <c r="CX1" s="38"/>
      <c r="CY1" s="38"/>
      <c r="CZ1" s="38"/>
      <c r="DA1" s="41"/>
      <c r="DB1" s="39" t="s">
        <v>516</v>
      </c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1"/>
      <c r="DO1" s="13" t="s">
        <v>424</v>
      </c>
      <c r="DP1" s="14" t="s">
        <v>433</v>
      </c>
      <c r="DQ1" s="14" t="s">
        <v>434</v>
      </c>
      <c r="DR1" s="14" t="s">
        <v>435</v>
      </c>
      <c r="DS1" s="14" t="s">
        <v>436</v>
      </c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</row>
    <row r="2" spans="1:139">
      <c r="F2" s="20" t="s">
        <v>11</v>
      </c>
      <c r="G2" t="s">
        <v>32</v>
      </c>
      <c r="H2" t="s">
        <v>597</v>
      </c>
      <c r="I2" t="s">
        <v>14</v>
      </c>
      <c r="J2" s="20" t="s">
        <v>4</v>
      </c>
      <c r="K2" t="s">
        <v>5</v>
      </c>
      <c r="L2" t="s">
        <v>6</v>
      </c>
      <c r="M2" s="22" t="s">
        <v>299</v>
      </c>
      <c r="N2" s="22" t="s">
        <v>301</v>
      </c>
      <c r="O2" s="22" t="s">
        <v>302</v>
      </c>
      <c r="P2" s="22" t="s">
        <v>303</v>
      </c>
      <c r="Q2" s="22" t="s">
        <v>304</v>
      </c>
      <c r="R2" s="4" t="s">
        <v>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 s="4">
        <v>2025</v>
      </c>
      <c r="AA2" s="7" t="s">
        <v>762</v>
      </c>
      <c r="AB2" s="20">
        <v>2008</v>
      </c>
      <c r="AC2">
        <v>2009</v>
      </c>
      <c r="AD2">
        <v>2010</v>
      </c>
      <c r="AE2">
        <v>2011</v>
      </c>
      <c r="AF2">
        <v>2012</v>
      </c>
      <c r="AG2">
        <v>2013</v>
      </c>
      <c r="AH2">
        <v>2014</v>
      </c>
      <c r="AI2">
        <v>2015</v>
      </c>
      <c r="AJ2">
        <v>2016</v>
      </c>
      <c r="AK2">
        <v>2017</v>
      </c>
      <c r="AL2">
        <v>2018</v>
      </c>
      <c r="AM2">
        <v>2019</v>
      </c>
      <c r="AN2">
        <v>2020</v>
      </c>
      <c r="AO2">
        <v>2021</v>
      </c>
      <c r="AP2">
        <v>2022</v>
      </c>
      <c r="AQ2">
        <v>2023</v>
      </c>
      <c r="AR2">
        <v>2024</v>
      </c>
      <c r="AS2" s="4">
        <v>2025</v>
      </c>
      <c r="AT2" s="7" t="s">
        <v>762</v>
      </c>
      <c r="AU2" s="32">
        <v>2022</v>
      </c>
      <c r="AV2" s="8">
        <v>2023</v>
      </c>
      <c r="AW2" s="8">
        <v>2024</v>
      </c>
      <c r="AX2" s="9">
        <v>2025</v>
      </c>
      <c r="AY2">
        <v>2020</v>
      </c>
      <c r="AZ2">
        <v>2021</v>
      </c>
      <c r="BA2">
        <v>2022</v>
      </c>
      <c r="BB2">
        <v>2023</v>
      </c>
      <c r="BC2">
        <v>2024</v>
      </c>
      <c r="BD2" s="4">
        <v>2025</v>
      </c>
      <c r="BF2">
        <v>2017</v>
      </c>
      <c r="BG2">
        <v>2018</v>
      </c>
      <c r="BH2">
        <v>2019</v>
      </c>
      <c r="BI2">
        <v>2020</v>
      </c>
      <c r="BJ2">
        <v>2021</v>
      </c>
      <c r="BK2" s="7">
        <v>2022</v>
      </c>
      <c r="BL2" s="20">
        <v>2008</v>
      </c>
      <c r="BM2">
        <v>2009</v>
      </c>
      <c r="BN2">
        <v>2010</v>
      </c>
      <c r="BO2">
        <v>2011</v>
      </c>
      <c r="BP2">
        <v>2012</v>
      </c>
      <c r="BQ2">
        <v>2013</v>
      </c>
      <c r="BR2">
        <v>2014</v>
      </c>
      <c r="BS2">
        <v>2015</v>
      </c>
      <c r="BT2">
        <v>2016</v>
      </c>
      <c r="BU2">
        <v>2017</v>
      </c>
      <c r="BV2">
        <v>2018</v>
      </c>
      <c r="BW2">
        <v>2019</v>
      </c>
      <c r="BX2">
        <v>2021</v>
      </c>
      <c r="BY2">
        <v>2022</v>
      </c>
      <c r="BZ2">
        <v>2023</v>
      </c>
      <c r="CA2">
        <v>2024</v>
      </c>
      <c r="CB2" s="4">
        <v>2025</v>
      </c>
      <c r="CD2" s="31">
        <v>1963</v>
      </c>
      <c r="CE2" s="5">
        <v>2010</v>
      </c>
      <c r="CF2" s="6">
        <v>2011</v>
      </c>
      <c r="CG2" s="6">
        <v>2012</v>
      </c>
      <c r="CH2" s="6">
        <v>2013</v>
      </c>
      <c r="CI2" s="6">
        <v>2014</v>
      </c>
      <c r="CJ2" s="6">
        <v>2015</v>
      </c>
      <c r="CK2" s="6">
        <v>2016</v>
      </c>
      <c r="CL2" s="6">
        <v>2017</v>
      </c>
      <c r="CM2" s="6">
        <v>2018</v>
      </c>
      <c r="CN2" s="6">
        <v>2019</v>
      </c>
      <c r="CO2" s="6">
        <v>2020</v>
      </c>
      <c r="CP2" s="6">
        <v>2021</v>
      </c>
      <c r="CQ2" s="6">
        <v>2022</v>
      </c>
      <c r="CR2" s="6">
        <v>2023</v>
      </c>
      <c r="CS2" s="6">
        <v>2024</v>
      </c>
      <c r="CT2" s="11">
        <v>2025</v>
      </c>
      <c r="CU2" s="6">
        <v>2019</v>
      </c>
      <c r="CV2" s="6">
        <v>2020</v>
      </c>
      <c r="CW2" s="6">
        <v>2021</v>
      </c>
      <c r="CX2" s="6">
        <v>2022</v>
      </c>
      <c r="CY2" s="6">
        <v>2023</v>
      </c>
      <c r="CZ2" s="6">
        <v>2024</v>
      </c>
      <c r="DA2" s="11">
        <v>2025</v>
      </c>
      <c r="DB2" s="19">
        <v>2013</v>
      </c>
      <c r="DC2" s="19">
        <v>2014</v>
      </c>
      <c r="DD2" s="19">
        <v>2015</v>
      </c>
      <c r="DE2" s="19">
        <v>2016</v>
      </c>
      <c r="DF2" s="19">
        <v>2017</v>
      </c>
      <c r="DG2" s="19">
        <v>2018</v>
      </c>
      <c r="DH2" s="19">
        <v>2019</v>
      </c>
      <c r="DI2" s="19">
        <v>2020</v>
      </c>
      <c r="DJ2" s="19">
        <v>2021</v>
      </c>
      <c r="DK2" s="19">
        <v>2022</v>
      </c>
      <c r="DL2" s="19">
        <v>2023</v>
      </c>
      <c r="DM2" s="19">
        <v>2024</v>
      </c>
      <c r="DN2" s="19">
        <v>2025</v>
      </c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</row>
    <row r="3" spans="1:139">
      <c r="A3" t="s">
        <v>74</v>
      </c>
      <c r="B3" t="s">
        <v>8</v>
      </c>
      <c r="C3" t="s">
        <v>9</v>
      </c>
      <c r="D3" s="22" t="s">
        <v>10</v>
      </c>
      <c r="E3" t="s">
        <v>670</v>
      </c>
      <c r="F3" s="20" t="s">
        <v>305</v>
      </c>
      <c r="G3" s="8" t="s">
        <v>305</v>
      </c>
      <c r="I3" t="s">
        <v>305</v>
      </c>
      <c r="J3" s="20" t="s">
        <v>12</v>
      </c>
      <c r="K3">
        <v>2019</v>
      </c>
      <c r="L3">
        <v>2025</v>
      </c>
      <c r="M3" s="10" t="s">
        <v>384</v>
      </c>
      <c r="N3"/>
      <c r="O3"/>
      <c r="P3" s="10" t="s">
        <v>386</v>
      </c>
      <c r="Q3" s="10" t="s">
        <v>385</v>
      </c>
      <c r="Y3" t="s">
        <v>305</v>
      </c>
      <c r="Z3" s="4" t="s">
        <v>305</v>
      </c>
      <c r="AA3" s="7" t="str" cm="1">
        <f t="array" ref="AA3">IF(AND(ISBLANK(S3:Z3)),"","x")</f>
        <v>x</v>
      </c>
      <c r="AT3" s="7" t="str" cm="1">
        <f t="array" ref="AT3">IF(AND(ISBLANK(AB3:AS3)),"","x")</f>
        <v/>
      </c>
      <c r="AY3" t="s">
        <v>305</v>
      </c>
      <c r="AZ3" t="s">
        <v>305</v>
      </c>
      <c r="BB3" t="s">
        <v>305</v>
      </c>
      <c r="BE3" s="7" t="str" cm="1">
        <f t="array" ref="BE3">IF(AND(ISBLANK(AY3:BD3)),"","x")</f>
        <v>x</v>
      </c>
      <c r="CA3" t="s">
        <v>565</v>
      </c>
      <c r="CC3" s="7" t="str" cm="1">
        <f t="array" ref="CC3">IF(AND(ISBLANK(BL3:CB3)),"","x")</f>
        <v>x</v>
      </c>
    </row>
    <row r="4" spans="1:139">
      <c r="A4" t="s">
        <v>74</v>
      </c>
      <c r="B4" t="s">
        <v>8</v>
      </c>
      <c r="C4" t="s">
        <v>13</v>
      </c>
      <c r="D4" s="22" t="s">
        <v>578</v>
      </c>
      <c r="E4" s="22" t="s">
        <v>669</v>
      </c>
      <c r="F4" s="20" t="s">
        <v>14</v>
      </c>
      <c r="J4" s="20" t="s">
        <v>15</v>
      </c>
      <c r="K4">
        <v>2017</v>
      </c>
      <c r="L4">
        <v>2023</v>
      </c>
      <c r="M4"/>
      <c r="N4"/>
      <c r="O4" s="10" t="s">
        <v>666</v>
      </c>
      <c r="P4" s="10" t="s">
        <v>667</v>
      </c>
      <c r="Q4" s="10" t="s">
        <v>668</v>
      </c>
      <c r="AA4" s="7" t="str" cm="1">
        <f t="array" ref="AA4">IF(AND(ISBLANK(S4:Z4)),"","x")</f>
        <v/>
      </c>
      <c r="AT4" s="7" t="str" cm="1">
        <f t="array" ref="AT4">IF(AND(ISBLANK(AB4:AS4)),"","x")</f>
        <v/>
      </c>
      <c r="BE4" s="7" t="str" cm="1">
        <f t="array" ref="BE4">IF(AND(ISBLANK(AY4:BD4)),"","x")</f>
        <v/>
      </c>
      <c r="BV4" t="s">
        <v>305</v>
      </c>
      <c r="BW4" t="s">
        <v>305</v>
      </c>
      <c r="CC4" s="7" t="str" cm="1">
        <f t="array" ref="CC4">IF(AND(ISBLANK(BL4:CB4)),"","x")</f>
        <v>x</v>
      </c>
      <c r="DO4"/>
      <c r="DP4"/>
      <c r="DQ4"/>
    </row>
    <row r="5" spans="1:139">
      <c r="A5" t="s">
        <v>74</v>
      </c>
      <c r="B5" t="s">
        <v>8</v>
      </c>
      <c r="C5" t="s">
        <v>16</v>
      </c>
      <c r="D5" s="22" t="s">
        <v>578</v>
      </c>
      <c r="E5" s="22" t="s">
        <v>591</v>
      </c>
      <c r="F5" s="20" t="s">
        <v>14</v>
      </c>
      <c r="J5" s="20" t="s">
        <v>15</v>
      </c>
      <c r="L5">
        <v>2015</v>
      </c>
      <c r="M5" s="27" t="s">
        <v>590</v>
      </c>
      <c r="AA5" s="7" t="str" cm="1">
        <f t="array" ref="AA5">IF(AND(ISBLANK(S5:Z5)),"","x")</f>
        <v/>
      </c>
      <c r="AT5" s="7" t="str" cm="1">
        <f t="array" ref="AT5">IF(AND(ISBLANK(AB5:AS5)),"","x")</f>
        <v/>
      </c>
      <c r="BE5" s="7" t="str" cm="1">
        <f t="array" ref="BE5">IF(AND(ISBLANK(AY5:BD5)),"","x")</f>
        <v/>
      </c>
      <c r="BS5" t="s">
        <v>305</v>
      </c>
      <c r="CC5" s="7" t="str" cm="1">
        <f t="array" ref="CC5">IF(AND(ISBLANK(BL5:CB5)),"","x")</f>
        <v>x</v>
      </c>
      <c r="DO5"/>
      <c r="DP5"/>
      <c r="DQ5"/>
    </row>
    <row r="6" spans="1:139">
      <c r="A6" t="s">
        <v>74</v>
      </c>
      <c r="B6" t="s">
        <v>17</v>
      </c>
      <c r="C6" t="s">
        <v>18</v>
      </c>
      <c r="D6" s="22" t="s">
        <v>748</v>
      </c>
      <c r="E6" s="22" t="s">
        <v>19</v>
      </c>
      <c r="F6" s="20" t="s">
        <v>14</v>
      </c>
      <c r="J6" s="20" t="s">
        <v>15</v>
      </c>
      <c r="K6">
        <v>2022</v>
      </c>
      <c r="L6">
        <v>2025</v>
      </c>
      <c r="M6" s="10" t="s">
        <v>749</v>
      </c>
      <c r="N6"/>
      <c r="O6" s="10" t="s">
        <v>747</v>
      </c>
      <c r="P6" s="10" t="s">
        <v>746</v>
      </c>
      <c r="Q6" s="10" t="s">
        <v>750</v>
      </c>
      <c r="AA6" s="7" t="str" cm="1">
        <f t="array" ref="AA6">IF(AND(ISBLANK(S6:Z6)),"","x")</f>
        <v/>
      </c>
      <c r="AT6" s="7" t="str" cm="1">
        <f t="array" ref="AT6">IF(AND(ISBLANK(AB6:AS6)),"","x")</f>
        <v/>
      </c>
      <c r="BE6" s="7" t="str" cm="1">
        <f t="array" ref="BE6">IF(AND(ISBLANK(AY6:BD6)),"","x")</f>
        <v/>
      </c>
      <c r="CB6" s="4" t="s">
        <v>305</v>
      </c>
      <c r="CC6" s="7" t="str" cm="1">
        <f t="array" ref="CC6">IF(AND(ISBLANK(BL6:CB6)),"","x")</f>
        <v>x</v>
      </c>
      <c r="DO6"/>
      <c r="DP6"/>
      <c r="DQ6"/>
      <c r="DR6" t="s">
        <v>305</v>
      </c>
      <c r="DS6" t="s">
        <v>305</v>
      </c>
    </row>
    <row r="7" spans="1:139">
      <c r="A7" t="s">
        <v>74</v>
      </c>
      <c r="B7" t="s">
        <v>20</v>
      </c>
      <c r="C7" t="s">
        <v>21</v>
      </c>
      <c r="D7" s="22" t="s">
        <v>22</v>
      </c>
      <c r="F7" s="20" t="s">
        <v>23</v>
      </c>
      <c r="J7" s="20" t="s">
        <v>24</v>
      </c>
      <c r="K7">
        <v>2022</v>
      </c>
      <c r="L7">
        <v>2025</v>
      </c>
      <c r="M7" s="10" t="s">
        <v>315</v>
      </c>
      <c r="N7"/>
      <c r="O7"/>
      <c r="P7" s="10" t="s">
        <v>317</v>
      </c>
      <c r="Q7" s="10" t="s">
        <v>316</v>
      </c>
      <c r="W7" t="s">
        <v>305</v>
      </c>
      <c r="X7" t="s">
        <v>305</v>
      </c>
      <c r="Y7" t="s">
        <v>305</v>
      </c>
      <c r="Z7" s="4" t="s">
        <v>305</v>
      </c>
      <c r="AA7" s="7" t="str" cm="1">
        <f t="array" ref="AA7">IF(AND(ISBLANK(S7:Z7)),"","x")</f>
        <v>x</v>
      </c>
      <c r="AT7" s="7" t="str" cm="1">
        <f t="array" ref="AT7">IF(AND(ISBLANK(AB7:AS7)),"","x")</f>
        <v/>
      </c>
      <c r="BD7" s="4" t="s">
        <v>305</v>
      </c>
      <c r="BE7" s="7" t="str" cm="1">
        <f t="array" ref="BE7">IF(AND(ISBLANK(AY7:BD7)),"","x")</f>
        <v>x</v>
      </c>
      <c r="BY7" t="s">
        <v>305</v>
      </c>
      <c r="CB7" s="4" t="s">
        <v>305</v>
      </c>
      <c r="CC7" s="7" t="str" cm="1">
        <f t="array" ref="CC7">IF(AND(ISBLANK(BL7:CB7)),"","x")</f>
        <v>x</v>
      </c>
    </row>
    <row r="8" spans="1:139">
      <c r="A8" t="s">
        <v>74</v>
      </c>
      <c r="B8" t="s">
        <v>20</v>
      </c>
      <c r="C8" t="s">
        <v>21</v>
      </c>
      <c r="D8" s="22" t="s">
        <v>578</v>
      </c>
      <c r="E8" s="22" t="s">
        <v>564</v>
      </c>
      <c r="K8">
        <v>2005</v>
      </c>
      <c r="L8">
        <v>2019</v>
      </c>
      <c r="M8" s="10" t="s">
        <v>672</v>
      </c>
      <c r="N8"/>
      <c r="O8"/>
      <c r="P8" s="10" t="s">
        <v>673</v>
      </c>
      <c r="Q8" s="10"/>
      <c r="AA8" s="7" t="str" cm="1">
        <f t="array" ref="AA8">IF(AND(ISBLANK(S8:Z8)),"","x")</f>
        <v/>
      </c>
      <c r="AT8" s="7" t="str" cm="1">
        <f t="array" ref="AT8">IF(AND(ISBLANK(AB8:AS8)),"","x")</f>
        <v/>
      </c>
      <c r="BE8" s="7" t="str" cm="1">
        <f t="array" ref="BE8">IF(AND(ISBLANK(AY8:BD8)),"","x")</f>
        <v/>
      </c>
      <c r="BW8" t="s">
        <v>305</v>
      </c>
      <c r="CC8" s="7" t="str" cm="1">
        <f t="array" ref="CC8">IF(AND(ISBLANK(BL8:CB8)),"","x")</f>
        <v>x</v>
      </c>
    </row>
    <row r="9" spans="1:139">
      <c r="A9" t="s">
        <v>74</v>
      </c>
      <c r="B9" t="s">
        <v>20</v>
      </c>
      <c r="C9" t="s">
        <v>562</v>
      </c>
      <c r="D9" s="22" t="s">
        <v>578</v>
      </c>
      <c r="E9" s="22" t="s">
        <v>561</v>
      </c>
      <c r="K9">
        <v>2014</v>
      </c>
      <c r="L9">
        <v>2015</v>
      </c>
      <c r="M9" s="27" t="s">
        <v>578</v>
      </c>
      <c r="N9" s="22" t="s">
        <v>578</v>
      </c>
      <c r="O9" s="22" t="s">
        <v>578</v>
      </c>
      <c r="P9" s="27" t="s">
        <v>578</v>
      </c>
      <c r="Q9" s="27" t="s">
        <v>578</v>
      </c>
      <c r="AA9" s="7" t="str" cm="1">
        <f t="array" ref="AA9">IF(AND(ISBLANK(S9:Z9)),"","x")</f>
        <v/>
      </c>
      <c r="AT9" s="7" t="str" cm="1">
        <f t="array" ref="AT9">IF(AND(ISBLANK(AB9:AS9)),"","x")</f>
        <v/>
      </c>
      <c r="BE9" s="7" t="str" cm="1">
        <f t="array" ref="BE9">IF(AND(ISBLANK(AY9:BD9)),"","x")</f>
        <v/>
      </c>
      <c r="BS9" t="s">
        <v>305</v>
      </c>
      <c r="CC9" s="7" t="str" cm="1">
        <f t="array" ref="CC9">IF(AND(ISBLANK(BL9:CB9)),"","x")</f>
        <v>x</v>
      </c>
    </row>
    <row r="10" spans="1:139">
      <c r="A10" t="s">
        <v>74</v>
      </c>
      <c r="B10" t="s">
        <v>20</v>
      </c>
      <c r="C10" t="s">
        <v>756</v>
      </c>
      <c r="D10" s="22" t="s">
        <v>25</v>
      </c>
      <c r="F10" s="20" t="s">
        <v>11</v>
      </c>
      <c r="J10" s="20" t="s">
        <v>12</v>
      </c>
      <c r="K10">
        <v>2024</v>
      </c>
      <c r="L10">
        <v>2024</v>
      </c>
      <c r="M10" s="10" t="s">
        <v>458</v>
      </c>
      <c r="N10"/>
      <c r="O10"/>
      <c r="P10"/>
      <c r="Q10"/>
      <c r="Y10" t="s">
        <v>305</v>
      </c>
      <c r="AA10" s="7" t="str" cm="1">
        <f t="array" ref="AA10">IF(AND(ISBLANK(S10:Z10)),"","x")</f>
        <v>x</v>
      </c>
      <c r="AT10" s="7" t="str" cm="1">
        <f t="array" ref="AT10">IF(AND(ISBLANK(AB10:AS10)),"","x")</f>
        <v/>
      </c>
      <c r="BE10" s="7" t="str" cm="1">
        <f t="array" ref="BE10">IF(AND(ISBLANK(AY10:BD10)),"","x")</f>
        <v/>
      </c>
      <c r="CC10" s="7" t="str" cm="1">
        <f t="array" ref="CC10">IF(AND(ISBLANK(BL10:CB10)),"","x")</f>
        <v/>
      </c>
      <c r="DO10"/>
      <c r="DP10"/>
      <c r="DQ10"/>
    </row>
    <row r="11" spans="1:139">
      <c r="A11" t="s">
        <v>74</v>
      </c>
      <c r="B11" t="s">
        <v>26</v>
      </c>
      <c r="C11" t="s">
        <v>27</v>
      </c>
      <c r="D11" s="22" t="s">
        <v>28</v>
      </c>
      <c r="F11" s="20" t="s">
        <v>11</v>
      </c>
      <c r="J11" s="20" t="s">
        <v>12</v>
      </c>
      <c r="K11">
        <v>2025</v>
      </c>
      <c r="L11">
        <v>2025</v>
      </c>
      <c r="M11" s="10" t="s">
        <v>380</v>
      </c>
      <c r="N11"/>
      <c r="O11"/>
      <c r="P11" s="10" t="s">
        <v>382</v>
      </c>
      <c r="Q11" s="10" t="s">
        <v>381</v>
      </c>
      <c r="Z11" s="4" t="s">
        <v>305</v>
      </c>
      <c r="AA11" s="7" t="str" cm="1">
        <f t="array" ref="AA11">IF(AND(ISBLANK(S11:Z11)),"","x")</f>
        <v>x</v>
      </c>
      <c r="AT11" s="7" t="str" cm="1">
        <f t="array" ref="AT11">IF(AND(ISBLANK(AB11:AS11)),"","x")</f>
        <v/>
      </c>
      <c r="BE11" s="7" t="str" cm="1">
        <f t="array" ref="BE11">IF(AND(ISBLANK(AY11:BD11)),"","x")</f>
        <v/>
      </c>
      <c r="CC11" s="7" t="str" cm="1">
        <f t="array" ref="CC11">IF(AND(ISBLANK(BL11:CB11)),"","x")</f>
        <v/>
      </c>
    </row>
    <row r="12" spans="1:139">
      <c r="A12" t="s">
        <v>74</v>
      </c>
      <c r="B12" t="s">
        <v>474</v>
      </c>
      <c r="C12" t="s">
        <v>473</v>
      </c>
      <c r="D12" s="22" t="s">
        <v>29</v>
      </c>
      <c r="F12" s="20" t="s">
        <v>14</v>
      </c>
      <c r="J12" s="20" t="s">
        <v>15</v>
      </c>
      <c r="K12">
        <v>1999</v>
      </c>
      <c r="L12">
        <v>2024</v>
      </c>
      <c r="M12" s="10" t="s">
        <v>380</v>
      </c>
      <c r="N12"/>
      <c r="O12"/>
      <c r="P12" s="10" t="s">
        <v>382</v>
      </c>
      <c r="Q12" s="10" t="s">
        <v>381</v>
      </c>
      <c r="U12" t="s">
        <v>769</v>
      </c>
      <c r="V12" t="s">
        <v>305</v>
      </c>
      <c r="W12" t="s">
        <v>305</v>
      </c>
      <c r="X12" t="s">
        <v>305</v>
      </c>
      <c r="Y12" t="s">
        <v>305</v>
      </c>
      <c r="AA12" s="7" t="str" cm="1">
        <f t="array" ref="AA12">IF(AND(ISBLANK(S12:Z12)),"","x")</f>
        <v>x</v>
      </c>
      <c r="AT12" s="7" t="str" cm="1">
        <f t="array" ref="AT12">IF(AND(ISBLANK(AB12:AS12)),"","x")</f>
        <v/>
      </c>
      <c r="BE12" s="7" t="str" cm="1">
        <f t="array" ref="BE12">IF(AND(ISBLANK(AY12:BD12)),"","x")</f>
        <v/>
      </c>
      <c r="BU12" t="s">
        <v>305</v>
      </c>
      <c r="BW12" t="s">
        <v>305</v>
      </c>
      <c r="CA12" t="s">
        <v>305</v>
      </c>
      <c r="CC12" s="7" t="str" cm="1">
        <f t="array" ref="CC12">IF(AND(ISBLANK(BL12:CB12)),"","x")</f>
        <v>x</v>
      </c>
      <c r="DO12"/>
      <c r="DP12"/>
      <c r="DQ12"/>
    </row>
    <row r="13" spans="1:139">
      <c r="A13" t="s">
        <v>74</v>
      </c>
      <c r="B13" t="s">
        <v>30</v>
      </c>
      <c r="C13" t="s">
        <v>31</v>
      </c>
      <c r="D13" s="22" t="s">
        <v>578</v>
      </c>
      <c r="E13" s="22" t="s">
        <v>882</v>
      </c>
      <c r="F13" s="20" t="s">
        <v>11</v>
      </c>
      <c r="J13" s="20" t="s">
        <v>12</v>
      </c>
      <c r="K13">
        <v>2025</v>
      </c>
      <c r="L13">
        <v>2025</v>
      </c>
      <c r="M13"/>
      <c r="N13"/>
      <c r="O13"/>
      <c r="P13"/>
      <c r="Q13"/>
      <c r="Z13" s="4" t="s">
        <v>305</v>
      </c>
      <c r="AA13" s="7" t="str" cm="1">
        <f t="array" ref="AA13">IF(AND(ISBLANK(S13:Z13)),"","x")</f>
        <v>x</v>
      </c>
      <c r="AT13" s="7" t="str" cm="1">
        <f t="array" ref="AT13">IF(AND(ISBLANK(AB13:AS13)),"","x")</f>
        <v/>
      </c>
      <c r="BE13" s="7" t="str" cm="1">
        <f t="array" ref="BE13">IF(AND(ISBLANK(AY13:BD13)),"","x")</f>
        <v/>
      </c>
      <c r="CC13" s="7" t="str" cm="1">
        <f t="array" ref="CC13">IF(AND(ISBLANK(BL13:CB13)),"","x")</f>
        <v/>
      </c>
    </row>
    <row r="14" spans="1:139">
      <c r="A14" t="s">
        <v>74</v>
      </c>
      <c r="B14" t="s">
        <v>30</v>
      </c>
      <c r="C14" t="s">
        <v>31</v>
      </c>
      <c r="D14" s="22" t="s">
        <v>578</v>
      </c>
      <c r="E14" s="22" t="s">
        <v>884</v>
      </c>
      <c r="F14" s="20" t="s">
        <v>11</v>
      </c>
      <c r="J14" s="20" t="s">
        <v>12</v>
      </c>
      <c r="K14">
        <v>2020</v>
      </c>
      <c r="L14">
        <v>2020</v>
      </c>
      <c r="M14" s="10" t="s">
        <v>883</v>
      </c>
      <c r="N14"/>
      <c r="O14"/>
      <c r="P14"/>
      <c r="Q14"/>
      <c r="U14" t="s">
        <v>305</v>
      </c>
      <c r="AA14" s="7" t="str" cm="1">
        <f t="array" ref="AA14">IF(AND(ISBLANK(S14:Z14)),"","x")</f>
        <v>x</v>
      </c>
      <c r="AT14" s="7" t="str" cm="1">
        <f t="array" ref="AT14">IF(AND(ISBLANK(AB14:AS14)),"","x")</f>
        <v/>
      </c>
      <c r="BE14" s="7" t="str" cm="1">
        <f t="array" ref="BE14">IF(AND(ISBLANK(AY14:BD14)),"","x")</f>
        <v/>
      </c>
      <c r="CC14" s="7" t="str" cm="1">
        <f t="array" ref="CC14">IF(AND(ISBLANK(BL14:CB14)),"","x")</f>
        <v/>
      </c>
      <c r="DO14"/>
      <c r="DP14"/>
      <c r="DQ14"/>
    </row>
    <row r="15" spans="1:139">
      <c r="A15" t="s">
        <v>74</v>
      </c>
      <c r="B15" t="s">
        <v>30</v>
      </c>
      <c r="C15" t="s">
        <v>31</v>
      </c>
      <c r="D15" s="22" t="s">
        <v>578</v>
      </c>
      <c r="E15" s="22" t="s">
        <v>581</v>
      </c>
      <c r="F15" s="20" t="s">
        <v>14</v>
      </c>
      <c r="J15" s="20" t="s">
        <v>15</v>
      </c>
      <c r="K15">
        <v>2015</v>
      </c>
      <c r="L15">
        <v>2019</v>
      </c>
      <c r="M15"/>
      <c r="N15"/>
      <c r="O15" s="10" t="s">
        <v>579</v>
      </c>
      <c r="P15"/>
      <c r="Q15"/>
      <c r="AA15" s="7" t="str" cm="1">
        <f t="array" ref="AA15">IF(AND(ISBLANK(S15:Z15)),"","x")</f>
        <v/>
      </c>
      <c r="AT15" s="7" t="str" cm="1">
        <f t="array" ref="AT15">IF(AND(ISBLANK(AB15:AS15)),"","x")</f>
        <v/>
      </c>
      <c r="BE15" s="7" t="str" cm="1">
        <f t="array" ref="BE15">IF(AND(ISBLANK(AY15:BD15)),"","x")</f>
        <v/>
      </c>
      <c r="BT15" t="s">
        <v>305</v>
      </c>
      <c r="BW15" t="s">
        <v>305</v>
      </c>
      <c r="CC15" s="7" t="str" cm="1">
        <f t="array" ref="CC15">IF(AND(ISBLANK(BL15:CB15)),"","x")</f>
        <v>x</v>
      </c>
      <c r="DO15"/>
      <c r="DP15"/>
      <c r="DQ15"/>
    </row>
    <row r="16" spans="1:139">
      <c r="A16" t="s">
        <v>74</v>
      </c>
      <c r="B16" t="s">
        <v>30</v>
      </c>
      <c r="C16" t="s">
        <v>850</v>
      </c>
      <c r="D16" s="22" t="s">
        <v>578</v>
      </c>
      <c r="E16" s="22" t="s">
        <v>851</v>
      </c>
      <c r="F16" s="20" t="s">
        <v>32</v>
      </c>
      <c r="J16" s="20" t="s">
        <v>15</v>
      </c>
      <c r="K16">
        <v>2017</v>
      </c>
      <c r="L16">
        <v>2025</v>
      </c>
      <c r="M16" s="10" t="s">
        <v>852</v>
      </c>
      <c r="N16"/>
      <c r="O16" s="10" t="s">
        <v>671</v>
      </c>
      <c r="P16"/>
      <c r="Q16"/>
      <c r="AA16" s="7" t="str" cm="1">
        <f t="array" ref="AA16">IF(AND(ISBLANK(S16:Z16)),"","x")</f>
        <v/>
      </c>
      <c r="AR16" t="s">
        <v>769</v>
      </c>
      <c r="AT16" s="7" t="str" cm="1">
        <f t="array" ref="AT16">IF(AND(ISBLANK(AB16:AS16)),"","x")</f>
        <v>x</v>
      </c>
      <c r="BE16" s="7" t="str" cm="1">
        <f t="array" ref="BE16">IF(AND(ISBLANK(AY16:BD16)),"","x")</f>
        <v/>
      </c>
      <c r="BV16" t="s">
        <v>305</v>
      </c>
      <c r="BY16" t="s">
        <v>305</v>
      </c>
      <c r="CC16" s="7" t="str" cm="1">
        <f t="array" ref="CC16">IF(AND(ISBLANK(BL16:CB16)),"","x")</f>
        <v>x</v>
      </c>
      <c r="DO16"/>
      <c r="DP16"/>
      <c r="DQ16"/>
    </row>
    <row r="17" spans="1:121">
      <c r="A17" t="s">
        <v>74</v>
      </c>
      <c r="B17" t="s">
        <v>30</v>
      </c>
      <c r="C17" t="s">
        <v>1017</v>
      </c>
      <c r="D17" s="22" t="s">
        <v>1018</v>
      </c>
      <c r="E17" s="22"/>
      <c r="K17">
        <v>2021</v>
      </c>
      <c r="L17">
        <v>2025</v>
      </c>
      <c r="M17" s="10" t="s">
        <v>1016</v>
      </c>
      <c r="N17"/>
      <c r="O17" s="10"/>
      <c r="P17"/>
      <c r="Q17"/>
      <c r="BB17" t="s">
        <v>305</v>
      </c>
      <c r="BE17" s="7" t="str" cm="1">
        <f t="array" ref="BE17">IF(AND(ISBLANK(AY17:BD17)),"","x")</f>
        <v>x</v>
      </c>
      <c r="DO17"/>
      <c r="DP17"/>
      <c r="DQ17"/>
    </row>
    <row r="18" spans="1:121">
      <c r="A18" t="s">
        <v>74</v>
      </c>
      <c r="B18" t="s">
        <v>33</v>
      </c>
      <c r="C18" t="s">
        <v>34</v>
      </c>
      <c r="D18" s="22" t="s">
        <v>1048</v>
      </c>
      <c r="E18" s="22" t="s">
        <v>1049</v>
      </c>
      <c r="F18" s="20" t="s">
        <v>35</v>
      </c>
      <c r="J18" s="20" t="s">
        <v>36</v>
      </c>
      <c r="L18">
        <v>2025</v>
      </c>
      <c r="M18"/>
      <c r="N18"/>
      <c r="O18"/>
      <c r="P18"/>
      <c r="Q18"/>
      <c r="AA18" s="7" t="str" cm="1">
        <f t="array" ref="AA18">IF(AND(ISBLANK(S18:Z18)),"","x")</f>
        <v/>
      </c>
      <c r="AT18" s="7" t="str" cm="1">
        <f t="array" ref="AT18">IF(AND(ISBLANK(AB18:AS18)),"","x")</f>
        <v/>
      </c>
      <c r="BC18" t="s">
        <v>305</v>
      </c>
      <c r="BD18" s="4" t="s">
        <v>305</v>
      </c>
      <c r="BE18" s="7" t="str" cm="1">
        <f t="array" ref="BE18">IF(AND(ISBLANK(AY18:BD18)),"","x")</f>
        <v>x</v>
      </c>
      <c r="CC18" s="7" t="str" cm="1">
        <f t="array" ref="CC18">IF(AND(ISBLANK(BL18:CB18)),"","x")</f>
        <v/>
      </c>
      <c r="DO18"/>
      <c r="DP18"/>
      <c r="DQ18"/>
    </row>
    <row r="19" spans="1:121">
      <c r="A19" t="s">
        <v>74</v>
      </c>
      <c r="B19" t="s">
        <v>33</v>
      </c>
      <c r="C19" t="s">
        <v>34</v>
      </c>
      <c r="D19" s="22" t="s">
        <v>578</v>
      </c>
      <c r="E19" s="22" t="s">
        <v>560</v>
      </c>
      <c r="K19">
        <v>2014</v>
      </c>
      <c r="L19">
        <v>2015</v>
      </c>
      <c r="O19" s="27" t="s">
        <v>600</v>
      </c>
      <c r="AA19" s="7" t="str" cm="1">
        <f t="array" ref="AA19">IF(AND(ISBLANK(S19:Z19)),"","x")</f>
        <v/>
      </c>
      <c r="AT19" s="7" t="str" cm="1">
        <f t="array" ref="AT19">IF(AND(ISBLANK(AB19:AS19)),"","x")</f>
        <v/>
      </c>
      <c r="BE19" s="7" t="str" cm="1">
        <f t="array" ref="BE19">IF(AND(ISBLANK(AY19:BD19)),"","x")</f>
        <v/>
      </c>
      <c r="BS19" t="s">
        <v>305</v>
      </c>
      <c r="CC19" s="7" t="str" cm="1">
        <f t="array" ref="CC19">IF(AND(ISBLANK(BL19:CB19)),"","x")</f>
        <v>x</v>
      </c>
      <c r="DO19"/>
      <c r="DP19"/>
      <c r="DQ19"/>
    </row>
    <row r="20" spans="1:121">
      <c r="A20" t="s">
        <v>74</v>
      </c>
      <c r="B20" t="s">
        <v>37</v>
      </c>
      <c r="C20" t="s">
        <v>38</v>
      </c>
      <c r="D20" s="22" t="s">
        <v>39</v>
      </c>
      <c r="F20" s="20" t="s">
        <v>23</v>
      </c>
      <c r="J20" s="20" t="s">
        <v>40</v>
      </c>
      <c r="K20">
        <v>2017</v>
      </c>
      <c r="L20">
        <v>2025</v>
      </c>
      <c r="M20" s="10" t="s">
        <v>321</v>
      </c>
      <c r="N20"/>
      <c r="O20"/>
      <c r="P20" s="10" t="s">
        <v>323</v>
      </c>
      <c r="Q20" s="10" t="s">
        <v>322</v>
      </c>
      <c r="U20" t="s">
        <v>305</v>
      </c>
      <c r="V20" t="s">
        <v>305</v>
      </c>
      <c r="W20" t="s">
        <v>305</v>
      </c>
      <c r="X20" t="s">
        <v>305</v>
      </c>
      <c r="Y20" t="s">
        <v>305</v>
      </c>
      <c r="Z20" s="4" t="s">
        <v>305</v>
      </c>
      <c r="AA20" s="7" t="str" cm="1">
        <f t="array" ref="AA20">IF(AND(ISBLANK(S20:Z20)),"","x")</f>
        <v>x</v>
      </c>
      <c r="AT20" s="7" t="str" cm="1">
        <f t="array" ref="AT20">IF(AND(ISBLANK(AB20:AS20)),"","x")</f>
        <v/>
      </c>
      <c r="BE20" s="7" t="str" cm="1">
        <f t="array" ref="BE20">IF(AND(ISBLANK(AY20:BD20)),"","x")</f>
        <v/>
      </c>
      <c r="BU20" t="s">
        <v>305</v>
      </c>
      <c r="BW20" t="s">
        <v>531</v>
      </c>
      <c r="BZ20" t="s">
        <v>531</v>
      </c>
      <c r="CB20" s="4" t="s">
        <v>305</v>
      </c>
      <c r="CC20" s="7" t="str" cm="1">
        <f t="array" ref="CC20">IF(AND(ISBLANK(BL20:CB20)),"","x")</f>
        <v>x</v>
      </c>
    </row>
    <row r="21" spans="1:121">
      <c r="A21" t="s">
        <v>74</v>
      </c>
      <c r="B21" t="s">
        <v>37</v>
      </c>
      <c r="C21" t="s">
        <v>38</v>
      </c>
      <c r="D21" s="22" t="s">
        <v>578</v>
      </c>
      <c r="E21" t="s">
        <v>576</v>
      </c>
      <c r="K21">
        <v>2014</v>
      </c>
      <c r="L21">
        <v>2017</v>
      </c>
      <c r="M21" s="27" t="s">
        <v>601</v>
      </c>
      <c r="P21" s="27"/>
      <c r="Q21" s="27"/>
      <c r="AA21" s="7" t="str" cm="1">
        <f t="array" ref="AA21">IF(AND(ISBLANK(S21:Z21)),"","x")</f>
        <v/>
      </c>
      <c r="AT21" s="7" t="str" cm="1">
        <f t="array" ref="AT21">IF(AND(ISBLANK(AB21:AS21)),"","x")</f>
        <v/>
      </c>
      <c r="BE21" s="7" t="str" cm="1">
        <f t="array" ref="BE21">IF(AND(ISBLANK(AY21:BD21)),"","x")</f>
        <v/>
      </c>
      <c r="BS21" t="s">
        <v>305</v>
      </c>
      <c r="BT21" t="s">
        <v>305</v>
      </c>
      <c r="BU21" t="s">
        <v>305</v>
      </c>
      <c r="CC21" s="7" t="str" cm="1">
        <f t="array" ref="CC21">IF(AND(ISBLANK(BL21:CB21)),"","x")</f>
        <v>x</v>
      </c>
    </row>
    <row r="22" spans="1:121">
      <c r="A22" t="s">
        <v>74</v>
      </c>
      <c r="B22" t="s">
        <v>41</v>
      </c>
      <c r="C22" t="s">
        <v>42</v>
      </c>
      <c r="D22" s="22" t="s">
        <v>578</v>
      </c>
      <c r="E22" s="22" t="s">
        <v>43</v>
      </c>
      <c r="F22" s="20" t="s">
        <v>14</v>
      </c>
      <c r="J22" s="20" t="s">
        <v>44</v>
      </c>
      <c r="K22">
        <v>2018</v>
      </c>
      <c r="L22">
        <v>2019</v>
      </c>
      <c r="M22" s="10" t="s">
        <v>680</v>
      </c>
      <c r="N22"/>
      <c r="O22" s="10" t="s">
        <v>682</v>
      </c>
      <c r="P22" s="10" t="s">
        <v>681</v>
      </c>
      <c r="Q22"/>
      <c r="AA22" s="7" t="str" cm="1">
        <f t="array" ref="AA22">IF(AND(ISBLANK(S22:Z22)),"","x")</f>
        <v/>
      </c>
      <c r="AT22" s="7" t="str" cm="1">
        <f t="array" ref="AT22">IF(AND(ISBLANK(AB22:AS22)),"","x")</f>
        <v/>
      </c>
      <c r="BE22" s="7" t="str" cm="1">
        <f t="array" ref="BE22">IF(AND(ISBLANK(AY22:BD22)),"","x")</f>
        <v/>
      </c>
      <c r="BW22" t="s">
        <v>305</v>
      </c>
      <c r="CC22" s="7" t="str" cm="1">
        <f t="array" ref="CC22">IF(AND(ISBLANK(BL22:CB22)),"","x")</f>
        <v>x</v>
      </c>
      <c r="DO22"/>
      <c r="DP22"/>
      <c r="DQ22"/>
    </row>
    <row r="23" spans="1:121">
      <c r="A23" t="s">
        <v>74</v>
      </c>
      <c r="B23" t="s">
        <v>41</v>
      </c>
      <c r="C23" t="s">
        <v>42</v>
      </c>
      <c r="D23" s="22" t="s">
        <v>578</v>
      </c>
      <c r="E23" s="22" t="s">
        <v>598</v>
      </c>
      <c r="F23" s="20" t="s">
        <v>14</v>
      </c>
      <c r="J23" s="20" t="s">
        <v>44</v>
      </c>
      <c r="K23">
        <v>2014</v>
      </c>
      <c r="L23">
        <v>2015</v>
      </c>
      <c r="M23" s="22" t="s">
        <v>578</v>
      </c>
      <c r="N23" s="22" t="s">
        <v>578</v>
      </c>
      <c r="O23" s="22" t="s">
        <v>578</v>
      </c>
      <c r="P23" s="22" t="s">
        <v>578</v>
      </c>
      <c r="Q23" s="22" t="s">
        <v>578</v>
      </c>
      <c r="AA23" s="7" t="str" cm="1">
        <f t="array" ref="AA23">IF(AND(ISBLANK(S23:Z23)),"","x")</f>
        <v/>
      </c>
      <c r="AT23" s="7" t="str" cm="1">
        <f t="array" ref="AT23">IF(AND(ISBLANK(AB23:AS23)),"","x")</f>
        <v/>
      </c>
      <c r="BE23" s="7" t="str" cm="1">
        <f t="array" ref="BE23">IF(AND(ISBLANK(AY23:BD23)),"","x")</f>
        <v/>
      </c>
      <c r="BS23" t="s">
        <v>305</v>
      </c>
      <c r="CC23" s="7" t="str" cm="1">
        <f t="array" ref="CC23">IF(AND(ISBLANK(BL23:CB23)),"","x")</f>
        <v>x</v>
      </c>
      <c r="DO23"/>
      <c r="DP23"/>
      <c r="DQ23"/>
    </row>
    <row r="24" spans="1:121">
      <c r="A24" t="s">
        <v>74</v>
      </c>
      <c r="B24" t="s">
        <v>45</v>
      </c>
      <c r="C24" t="s">
        <v>46</v>
      </c>
      <c r="D24" s="22" t="s">
        <v>47</v>
      </c>
      <c r="F24" s="20" t="s">
        <v>11</v>
      </c>
      <c r="J24" s="20" t="s">
        <v>12</v>
      </c>
      <c r="K24">
        <v>2018</v>
      </c>
      <c r="L24">
        <v>2025</v>
      </c>
      <c r="M24" s="10" t="s">
        <v>318</v>
      </c>
      <c r="N24"/>
      <c r="O24"/>
      <c r="P24" s="10" t="s">
        <v>320</v>
      </c>
      <c r="Q24" s="10" t="s">
        <v>319</v>
      </c>
      <c r="T24" t="s">
        <v>305</v>
      </c>
      <c r="U24" t="s">
        <v>305</v>
      </c>
      <c r="W24" t="s">
        <v>305</v>
      </c>
      <c r="X24" t="s">
        <v>305</v>
      </c>
      <c r="Y24" t="s">
        <v>305</v>
      </c>
      <c r="Z24" s="4" t="s">
        <v>305</v>
      </c>
      <c r="AA24" s="7" t="str" cm="1">
        <f t="array" ref="AA24">IF(AND(ISBLANK(S24:Z24)),"","x")</f>
        <v>x</v>
      </c>
      <c r="AT24" s="7" t="str" cm="1">
        <f t="array" ref="AT24">IF(AND(ISBLANK(AB24:AS24)),"","x")</f>
        <v/>
      </c>
      <c r="BE24" s="7" t="str" cm="1">
        <f t="array" ref="BE24">IF(AND(ISBLANK(AY24:BD24)),"","x")</f>
        <v/>
      </c>
      <c r="CC24" s="7" t="str" cm="1">
        <f t="array" ref="CC24">IF(AND(ISBLANK(BL24:CB24)),"","x")</f>
        <v/>
      </c>
    </row>
    <row r="25" spans="1:121">
      <c r="A25" t="s">
        <v>74</v>
      </c>
      <c r="B25" t="s">
        <v>538</v>
      </c>
      <c r="C25" t="s">
        <v>539</v>
      </c>
      <c r="D25" s="22" t="s">
        <v>578</v>
      </c>
      <c r="E25" s="22" t="s">
        <v>540</v>
      </c>
      <c r="K25">
        <v>2015</v>
      </c>
      <c r="L25">
        <v>2017</v>
      </c>
      <c r="M25" s="10"/>
      <c r="N25"/>
      <c r="O25"/>
      <c r="P25" s="10"/>
      <c r="Q25" s="10"/>
      <c r="AA25" s="7" t="str" cm="1">
        <f t="array" ref="AA25">IF(AND(ISBLANK(S25:Z25)),"","x")</f>
        <v/>
      </c>
      <c r="AT25" s="7" t="str" cm="1">
        <f t="array" ref="AT25">IF(AND(ISBLANK(AB25:AS25)),"","x")</f>
        <v/>
      </c>
      <c r="BE25" s="7" t="str" cm="1">
        <f t="array" ref="BE25">IF(AND(ISBLANK(AY25:BD25)),"","x")</f>
        <v/>
      </c>
      <c r="BU25" t="s">
        <v>305</v>
      </c>
      <c r="CC25" s="7" t="str" cm="1">
        <f t="array" ref="CC25">IF(AND(ISBLANK(BL25:CB25)),"","x")</f>
        <v>x</v>
      </c>
    </row>
    <row r="26" spans="1:121">
      <c r="A26" t="s">
        <v>74</v>
      </c>
      <c r="B26" t="s">
        <v>48</v>
      </c>
      <c r="C26" t="s">
        <v>49</v>
      </c>
      <c r="D26" s="22" t="s">
        <v>631</v>
      </c>
      <c r="E26" s="22" t="s">
        <v>636</v>
      </c>
      <c r="F26" s="20" t="s">
        <v>14</v>
      </c>
      <c r="J26" s="20" t="s">
        <v>15</v>
      </c>
      <c r="K26">
        <v>2023</v>
      </c>
      <c r="L26">
        <v>2025</v>
      </c>
      <c r="M26" s="10" t="s">
        <v>632</v>
      </c>
      <c r="N26" s="10" t="s">
        <v>635</v>
      </c>
      <c r="O26" s="10" t="s">
        <v>634</v>
      </c>
      <c r="P26" s="10" t="s">
        <v>633</v>
      </c>
      <c r="Q26"/>
      <c r="AA26" s="7" t="str" cm="1">
        <f t="array" ref="AA26">IF(AND(ISBLANK(S26:Z26)),"","x")</f>
        <v/>
      </c>
      <c r="AT26" s="7" t="str" cm="1">
        <f t="array" ref="AT26">IF(AND(ISBLANK(AB26:AS26)),"","x")</f>
        <v/>
      </c>
      <c r="BE26" s="7" t="str" cm="1">
        <f t="array" ref="BE26">IF(AND(ISBLANK(AY26:BD26)),"","x")</f>
        <v/>
      </c>
      <c r="BT26" t="s">
        <v>305</v>
      </c>
      <c r="BW26" t="s">
        <v>305</v>
      </c>
      <c r="CA26" t="s">
        <v>305</v>
      </c>
      <c r="CC26" s="7" t="str" cm="1">
        <f t="array" ref="CC26">IF(AND(ISBLANK(BL26:CB26)),"","x")</f>
        <v>x</v>
      </c>
      <c r="DO26"/>
      <c r="DP26"/>
      <c r="DQ26"/>
    </row>
    <row r="27" spans="1:121">
      <c r="A27" t="s">
        <v>74</v>
      </c>
      <c r="B27" t="s">
        <v>48</v>
      </c>
      <c r="C27" t="s">
        <v>49</v>
      </c>
      <c r="D27" s="22" t="s">
        <v>578</v>
      </c>
      <c r="E27" s="22" t="s">
        <v>637</v>
      </c>
      <c r="K27">
        <v>2013</v>
      </c>
      <c r="L27">
        <v>2019</v>
      </c>
      <c r="M27" s="10"/>
      <c r="N27" s="10"/>
      <c r="O27" s="10"/>
      <c r="P27" s="10"/>
      <c r="Q27"/>
      <c r="AA27" s="7" t="str" cm="1">
        <f t="array" ref="AA27">IF(AND(ISBLANK(S27:Z27)),"","x")</f>
        <v/>
      </c>
      <c r="AT27" s="7" t="str" cm="1">
        <f t="array" ref="AT27">IF(AND(ISBLANK(AB27:AS27)),"","x")</f>
        <v/>
      </c>
      <c r="BE27" s="7" t="str" cm="1">
        <f t="array" ref="BE27">IF(AND(ISBLANK(AY27:BD27)),"","x")</f>
        <v/>
      </c>
      <c r="CC27" s="7" t="str" cm="1">
        <f t="array" ref="CC27">IF(AND(ISBLANK(BL27:CB27)),"","x")</f>
        <v/>
      </c>
      <c r="DO27"/>
      <c r="DP27"/>
      <c r="DQ27"/>
    </row>
    <row r="28" spans="1:121">
      <c r="A28" t="s">
        <v>74</v>
      </c>
      <c r="B28" t="s">
        <v>50</v>
      </c>
      <c r="C28" t="s">
        <v>51</v>
      </c>
      <c r="D28" s="22" t="s">
        <v>678</v>
      </c>
      <c r="E28" s="22" t="s">
        <v>530</v>
      </c>
      <c r="F28" s="20" t="s">
        <v>52</v>
      </c>
      <c r="J28" s="20" t="s">
        <v>44</v>
      </c>
      <c r="K28">
        <v>2010</v>
      </c>
      <c r="L28">
        <v>2024</v>
      </c>
      <c r="M28" s="10" t="s">
        <v>674</v>
      </c>
      <c r="N28"/>
      <c r="O28" s="10" t="s">
        <v>677</v>
      </c>
      <c r="P28" s="10" t="s">
        <v>676</v>
      </c>
      <c r="Q28" s="10" t="s">
        <v>675</v>
      </c>
      <c r="AA28" s="7" t="str" cm="1">
        <f t="array" ref="AA28">IF(AND(ISBLANK(S28:Z28)),"","x")</f>
        <v/>
      </c>
      <c r="AT28" s="7" t="str" cm="1">
        <f t="array" ref="AT28">IF(AND(ISBLANK(AB28:AS28)),"","x")</f>
        <v/>
      </c>
      <c r="BE28" s="7" t="str" cm="1">
        <f t="array" ref="BE28">IF(AND(ISBLANK(AY28:BD28)),"","x")</f>
        <v/>
      </c>
      <c r="BW28" t="s">
        <v>305</v>
      </c>
      <c r="BX28" t="s">
        <v>305</v>
      </c>
      <c r="CA28" t="s">
        <v>305</v>
      </c>
      <c r="CC28" s="7" t="str" cm="1">
        <f t="array" ref="CC28">IF(AND(ISBLANK(BL28:CB28)),"","x")</f>
        <v>x</v>
      </c>
      <c r="DO28"/>
      <c r="DP28"/>
      <c r="DQ28"/>
    </row>
    <row r="29" spans="1:121">
      <c r="A29" t="s">
        <v>74</v>
      </c>
      <c r="B29" t="s">
        <v>53</v>
      </c>
      <c r="C29" t="s">
        <v>54</v>
      </c>
      <c r="D29" s="22" t="s">
        <v>763</v>
      </c>
      <c r="F29" s="20" t="s">
        <v>11</v>
      </c>
      <c r="J29" s="20" t="s">
        <v>12</v>
      </c>
      <c r="K29">
        <v>1962</v>
      </c>
      <c r="L29">
        <v>2025</v>
      </c>
      <c r="M29" s="10" t="s">
        <v>324</v>
      </c>
      <c r="N29" s="10" t="s">
        <v>325</v>
      </c>
      <c r="O29"/>
      <c r="P29" s="10" t="s">
        <v>327</v>
      </c>
      <c r="Q29" s="10" t="s">
        <v>326</v>
      </c>
      <c r="S29" t="s">
        <v>305</v>
      </c>
      <c r="T29" t="s">
        <v>305</v>
      </c>
      <c r="Y29" t="s">
        <v>305</v>
      </c>
      <c r="Z29" s="4" t="s">
        <v>305</v>
      </c>
      <c r="AA29" s="7" t="str" cm="1">
        <f t="array" ref="AA29">IF(AND(ISBLANK(S29:Z29)),"","x")</f>
        <v>x</v>
      </c>
      <c r="AT29" s="7" t="str" cm="1">
        <f t="array" ref="AT29">IF(AND(ISBLANK(AB29:AS29)),"","x")</f>
        <v/>
      </c>
      <c r="BE29" s="7" t="str" cm="1">
        <f t="array" ref="BE29">IF(AND(ISBLANK(AY29:BD29)),"","x")</f>
        <v/>
      </c>
      <c r="CC29" s="7" t="str" cm="1">
        <f t="array" ref="CC29">IF(AND(ISBLANK(BL29:CB29)),"","x")</f>
        <v/>
      </c>
    </row>
    <row r="30" spans="1:121">
      <c r="A30" t="s">
        <v>74</v>
      </c>
      <c r="B30" t="s">
        <v>53</v>
      </c>
      <c r="C30" t="s">
        <v>54</v>
      </c>
      <c r="D30" s="22" t="s">
        <v>553</v>
      </c>
      <c r="K30">
        <v>1962</v>
      </c>
      <c r="L30">
        <v>2025</v>
      </c>
      <c r="M30" s="27" t="s">
        <v>324</v>
      </c>
      <c r="N30" s="27" t="s">
        <v>605</v>
      </c>
      <c r="O30" s="27" t="s">
        <v>604</v>
      </c>
      <c r="P30" s="27" t="s">
        <v>602</v>
      </c>
      <c r="Q30" s="27" t="s">
        <v>603</v>
      </c>
      <c r="AA30" s="7" t="str" cm="1">
        <f t="array" ref="AA30">IF(AND(ISBLANK(S30:Z30)),"","x")</f>
        <v/>
      </c>
      <c r="AT30" s="7" t="str" cm="1">
        <f t="array" ref="AT30">IF(AND(ISBLANK(AB30:AS30)),"","x")</f>
        <v/>
      </c>
      <c r="BB30" t="s">
        <v>305</v>
      </c>
      <c r="BC30" t="s">
        <v>305</v>
      </c>
      <c r="BD30" s="4" t="s">
        <v>305</v>
      </c>
      <c r="BE30" s="7" t="str" cm="1">
        <f t="array" ref="BE30">IF(AND(ISBLANK(AY30:BD30)),"","x")</f>
        <v>x</v>
      </c>
      <c r="BS30" t="s">
        <v>305</v>
      </c>
      <c r="BT30" t="s">
        <v>305</v>
      </c>
      <c r="BW30" t="s">
        <v>305</v>
      </c>
      <c r="CC30" s="7" t="str" cm="1">
        <f t="array" ref="CC30">IF(AND(ISBLANK(BL30:CB30)),"","x")</f>
        <v>x</v>
      </c>
    </row>
    <row r="31" spans="1:121">
      <c r="A31" t="s">
        <v>74</v>
      </c>
      <c r="B31" t="s">
        <v>53</v>
      </c>
      <c r="C31" t="s">
        <v>54</v>
      </c>
      <c r="D31" s="22" t="s">
        <v>578</v>
      </c>
      <c r="E31" s="22" t="s">
        <v>526</v>
      </c>
      <c r="L31">
        <v>2023</v>
      </c>
      <c r="M31" s="10" t="s">
        <v>527</v>
      </c>
      <c r="N31" s="10"/>
      <c r="O31"/>
      <c r="P31" s="10"/>
      <c r="Q31" s="10"/>
      <c r="AA31" s="7" t="str" cm="1">
        <f t="array" ref="AA31">IF(AND(ISBLANK(S31:Z31)),"","x")</f>
        <v/>
      </c>
      <c r="AT31" s="7" t="str" cm="1">
        <f t="array" ref="AT31">IF(AND(ISBLANK(AB31:AS31)),"","x")</f>
        <v/>
      </c>
      <c r="BE31" s="7" t="str" cm="1">
        <f t="array" ref="BE31">IF(AND(ISBLANK(AY31:BD31)),"","x")</f>
        <v/>
      </c>
      <c r="BZ31" t="s">
        <v>305</v>
      </c>
      <c r="CC31" s="7" t="str" cm="1">
        <f t="array" ref="CC31">IF(AND(ISBLANK(BL31:CB31)),"","x")</f>
        <v>x</v>
      </c>
    </row>
    <row r="32" spans="1:121">
      <c r="A32" t="s">
        <v>74</v>
      </c>
      <c r="B32" t="s">
        <v>53</v>
      </c>
      <c r="C32" t="s">
        <v>55</v>
      </c>
      <c r="D32" s="22" t="s">
        <v>578</v>
      </c>
      <c r="E32" s="22" t="s">
        <v>566</v>
      </c>
      <c r="F32" s="20" t="s">
        <v>14</v>
      </c>
      <c r="J32" s="20" t="s">
        <v>15</v>
      </c>
      <c r="K32">
        <v>2018</v>
      </c>
      <c r="L32">
        <v>2023</v>
      </c>
      <c r="M32"/>
      <c r="N32"/>
      <c r="O32" s="10" t="s">
        <v>679</v>
      </c>
      <c r="P32"/>
      <c r="Q32"/>
      <c r="AA32" s="7" t="str" cm="1">
        <f t="array" ref="AA32">IF(AND(ISBLANK(S32:Z32)),"","x")</f>
        <v/>
      </c>
      <c r="AT32" s="7" t="str" cm="1">
        <f t="array" ref="AT32">IF(AND(ISBLANK(AB32:AS32)),"","x")</f>
        <v/>
      </c>
      <c r="BE32" s="7" t="str" cm="1">
        <f t="array" ref="BE32">IF(AND(ISBLANK(AY32:BD32)),"","x")</f>
        <v/>
      </c>
      <c r="BW32" t="s">
        <v>305</v>
      </c>
      <c r="BZ32" t="s">
        <v>305</v>
      </c>
      <c r="CC32" s="7" t="str" cm="1">
        <f t="array" ref="CC32">IF(AND(ISBLANK(BL32:CB32)),"","x")</f>
        <v>x</v>
      </c>
      <c r="DO32"/>
      <c r="DP32"/>
      <c r="DQ32"/>
    </row>
    <row r="33" spans="1:121">
      <c r="A33" t="s">
        <v>74</v>
      </c>
      <c r="B33" t="s">
        <v>53</v>
      </c>
      <c r="C33" t="s">
        <v>56</v>
      </c>
      <c r="D33" s="22" t="s">
        <v>715</v>
      </c>
      <c r="E33" s="22" t="s">
        <v>563</v>
      </c>
      <c r="F33" s="20" t="s">
        <v>57</v>
      </c>
      <c r="J33" s="20" t="s">
        <v>58</v>
      </c>
      <c r="K33">
        <v>2018</v>
      </c>
      <c r="L33">
        <v>2025</v>
      </c>
      <c r="M33" s="10" t="s">
        <v>718</v>
      </c>
      <c r="N33"/>
      <c r="O33"/>
      <c r="P33" s="10" t="s">
        <v>717</v>
      </c>
      <c r="Q33" s="10" t="s">
        <v>716</v>
      </c>
      <c r="AA33" s="7" t="str" cm="1">
        <f t="array" ref="AA33">IF(AND(ISBLANK(S33:Z33)),"","x")</f>
        <v/>
      </c>
      <c r="AT33" s="7" t="str" cm="1">
        <f t="array" ref="AT33">IF(AND(ISBLANK(AB33:AS33)),"","x")</f>
        <v/>
      </c>
      <c r="BE33" s="7" t="str" cm="1">
        <f t="array" ref="BE33">IF(AND(ISBLANK(AY33:BD33)),"","x")</f>
        <v/>
      </c>
      <c r="BX33" t="s">
        <v>305</v>
      </c>
      <c r="BY33" t="s">
        <v>305</v>
      </c>
      <c r="CB33" s="4" t="s">
        <v>305</v>
      </c>
      <c r="CC33" s="7" t="str" cm="1">
        <f t="array" ref="CC33">IF(AND(ISBLANK(BL33:CB33)),"","x")</f>
        <v>x</v>
      </c>
      <c r="DO33"/>
      <c r="DP33"/>
      <c r="DQ33"/>
    </row>
    <row r="34" spans="1:121">
      <c r="A34" t="s">
        <v>74</v>
      </c>
      <c r="B34" t="s">
        <v>53</v>
      </c>
      <c r="C34" t="s">
        <v>755</v>
      </c>
      <c r="D34" s="22" t="s">
        <v>578</v>
      </c>
      <c r="E34" s="22" t="s">
        <v>59</v>
      </c>
      <c r="F34" s="20" t="s">
        <v>60</v>
      </c>
      <c r="J34" s="20" t="s">
        <v>44</v>
      </c>
      <c r="K34">
        <v>2023</v>
      </c>
      <c r="L34">
        <v>2024</v>
      </c>
      <c r="M34" s="10" t="s">
        <v>736</v>
      </c>
      <c r="N34"/>
      <c r="O34"/>
      <c r="P34"/>
      <c r="Q34" s="10" t="s">
        <v>737</v>
      </c>
      <c r="AA34" s="7" t="str" cm="1">
        <f t="array" ref="AA34">IF(AND(ISBLANK(S34:Z34)),"","x")</f>
        <v/>
      </c>
      <c r="AT34" s="7" t="str" cm="1">
        <f t="array" ref="AT34">IF(AND(ISBLANK(AB34:AS34)),"","x")</f>
        <v/>
      </c>
      <c r="BE34" s="7" t="str" cm="1">
        <f t="array" ref="BE34">IF(AND(ISBLANK(AY34:BD34)),"","x")</f>
        <v/>
      </c>
      <c r="CA34" t="s">
        <v>305</v>
      </c>
      <c r="CC34" s="7" t="str" cm="1">
        <f t="array" ref="CC34">IF(AND(ISBLANK(BL34:CB34)),"","x")</f>
        <v>x</v>
      </c>
      <c r="DO34"/>
      <c r="DP34"/>
      <c r="DQ34"/>
    </row>
    <row r="35" spans="1:121">
      <c r="A35" t="s">
        <v>74</v>
      </c>
      <c r="B35" t="s">
        <v>61</v>
      </c>
      <c r="C35" t="s">
        <v>62</v>
      </c>
      <c r="D35" s="22" t="s">
        <v>578</v>
      </c>
      <c r="E35" s="22" t="s">
        <v>537</v>
      </c>
      <c r="F35" s="20" t="s">
        <v>63</v>
      </c>
      <c r="J35" s="20" t="s">
        <v>44</v>
      </c>
      <c r="K35">
        <v>2017</v>
      </c>
      <c r="L35">
        <v>2024</v>
      </c>
      <c r="M35" s="10" t="s">
        <v>523</v>
      </c>
      <c r="N35"/>
      <c r="O35"/>
      <c r="P35" s="10" t="s">
        <v>524</v>
      </c>
      <c r="Q35"/>
      <c r="AA35" s="7" t="str" cm="1">
        <f t="array" ref="AA35">IF(AND(ISBLANK(S35:Z35)),"","x")</f>
        <v/>
      </c>
      <c r="AT35" s="7" t="str" cm="1">
        <f t="array" ref="AT35">IF(AND(ISBLANK(AB35:AS35)),"","x")</f>
        <v/>
      </c>
      <c r="BE35" s="7" t="str" cm="1">
        <f t="array" ref="BE35">IF(AND(ISBLANK(AY35:BD35)),"","x")</f>
        <v/>
      </c>
      <c r="BV35" t="s">
        <v>305</v>
      </c>
      <c r="BX35" t="s">
        <v>305</v>
      </c>
      <c r="CA35" t="s">
        <v>305</v>
      </c>
      <c r="CC35" s="7" t="str" cm="1">
        <f t="array" ref="CC35">IF(AND(ISBLANK(BL35:CB35)),"","x")</f>
        <v>x</v>
      </c>
      <c r="DO35"/>
      <c r="DP35"/>
      <c r="DQ35"/>
    </row>
    <row r="36" spans="1:121">
      <c r="A36" t="s">
        <v>74</v>
      </c>
      <c r="B36" t="s">
        <v>64</v>
      </c>
      <c r="C36" t="s">
        <v>65</v>
      </c>
      <c r="D36" s="22" t="s">
        <v>66</v>
      </c>
      <c r="F36" s="20" t="s">
        <v>11</v>
      </c>
      <c r="J36" s="20" t="s">
        <v>12</v>
      </c>
      <c r="K36">
        <v>2025</v>
      </c>
      <c r="L36">
        <v>2025</v>
      </c>
      <c r="M36" s="10" t="s">
        <v>885</v>
      </c>
      <c r="N36"/>
      <c r="O36"/>
      <c r="P36" s="10" t="s">
        <v>383</v>
      </c>
      <c r="Q36" s="10" t="s">
        <v>886</v>
      </c>
      <c r="Z36" s="4" t="s">
        <v>305</v>
      </c>
      <c r="AA36" s="7" t="str" cm="1">
        <f t="array" ref="AA36">IF(AND(ISBLANK(S36:Z36)),"","x")</f>
        <v>x</v>
      </c>
      <c r="AT36" s="7" t="str" cm="1">
        <f t="array" ref="AT36">IF(AND(ISBLANK(AB36:AS36)),"","x")</f>
        <v/>
      </c>
      <c r="BE36" s="7" t="str" cm="1">
        <f t="array" ref="BE36">IF(AND(ISBLANK(AY36:BD36)),"","x")</f>
        <v/>
      </c>
      <c r="CC36" s="7" t="str" cm="1">
        <f t="array" ref="CC36">IF(AND(ISBLANK(BL36:CB36)),"","x")</f>
        <v/>
      </c>
    </row>
    <row r="37" spans="1:121">
      <c r="A37" t="s">
        <v>74</v>
      </c>
      <c r="B37" t="s">
        <v>67</v>
      </c>
      <c r="C37" t="s">
        <v>68</v>
      </c>
      <c r="D37" s="22" t="s">
        <v>752</v>
      </c>
      <c r="E37" s="22" t="s">
        <v>827</v>
      </c>
      <c r="F37" s="20" t="s">
        <v>69</v>
      </c>
      <c r="J37" s="20" t="s">
        <v>15</v>
      </c>
      <c r="K37">
        <v>2014</v>
      </c>
      <c r="L37">
        <v>2025</v>
      </c>
      <c r="M37" s="10" t="s">
        <v>599</v>
      </c>
      <c r="N37"/>
      <c r="O37"/>
      <c r="P37"/>
      <c r="Q37"/>
      <c r="AA37" s="7" t="str" cm="1">
        <f t="array" ref="AA37">IF(AND(ISBLANK(S37:Z37)),"","x")</f>
        <v/>
      </c>
      <c r="AN37" t="s">
        <v>769</v>
      </c>
      <c r="AO37" t="s">
        <v>305</v>
      </c>
      <c r="AP37" t="s">
        <v>305</v>
      </c>
      <c r="AQ37" t="s">
        <v>305</v>
      </c>
      <c r="AR37" t="s">
        <v>305</v>
      </c>
      <c r="AS37" s="4" t="s">
        <v>305</v>
      </c>
      <c r="AT37" s="7" t="str" cm="1">
        <f t="array" ref="AT37">IF(AND(ISBLANK(AB37:AS37)),"","x")</f>
        <v>x</v>
      </c>
      <c r="BE37" s="7" t="str" cm="1">
        <f t="array" ref="BE37">IF(AND(ISBLANK(AY37:BD37)),"","x")</f>
        <v/>
      </c>
      <c r="BT37" t="s">
        <v>305</v>
      </c>
      <c r="BV37" t="s">
        <v>305</v>
      </c>
      <c r="BY37" t="s">
        <v>305</v>
      </c>
      <c r="CA37" t="s">
        <v>305</v>
      </c>
      <c r="CB37" s="4" t="s">
        <v>305</v>
      </c>
      <c r="CC37" s="7" t="str" cm="1">
        <f t="array" ref="CC37">IF(AND(ISBLANK(BL37:CB37)),"","x")</f>
        <v>x</v>
      </c>
      <c r="DO37"/>
      <c r="DP37"/>
      <c r="DQ37"/>
    </row>
    <row r="38" spans="1:121">
      <c r="A38" t="s">
        <v>74</v>
      </c>
      <c r="B38" t="s">
        <v>67</v>
      </c>
      <c r="C38" t="s">
        <v>68</v>
      </c>
      <c r="D38" s="22" t="s">
        <v>1001</v>
      </c>
      <c r="E38" s="22"/>
      <c r="K38">
        <v>2016</v>
      </c>
      <c r="L38">
        <v>2025</v>
      </c>
      <c r="M38" s="10" t="s">
        <v>1002</v>
      </c>
      <c r="N38"/>
      <c r="O38"/>
      <c r="P38"/>
      <c r="Q38"/>
      <c r="BA38" t="s">
        <v>305</v>
      </c>
      <c r="BD38" s="4" t="s">
        <v>305</v>
      </c>
      <c r="BE38" s="7" t="str" cm="1">
        <f t="array" ref="BE38">IF(AND(ISBLANK(AY38:BD38)),"","x")</f>
        <v>x</v>
      </c>
      <c r="DO38"/>
      <c r="DP38"/>
      <c r="DQ38"/>
    </row>
    <row r="39" spans="1:121">
      <c r="A39" t="s">
        <v>74</v>
      </c>
      <c r="B39" t="s">
        <v>70</v>
      </c>
      <c r="C39" t="s">
        <v>71</v>
      </c>
      <c r="D39" s="22" t="s">
        <v>72</v>
      </c>
      <c r="F39" s="20" t="s">
        <v>14</v>
      </c>
      <c r="J39" s="20" t="s">
        <v>15</v>
      </c>
      <c r="K39">
        <v>2019</v>
      </c>
      <c r="L39">
        <v>2023</v>
      </c>
      <c r="M39" s="10" t="s">
        <v>575</v>
      </c>
      <c r="N39"/>
      <c r="O39" s="10" t="s">
        <v>572</v>
      </c>
      <c r="P39" s="10" t="s">
        <v>574</v>
      </c>
      <c r="Q39" s="10" t="s">
        <v>573</v>
      </c>
      <c r="AA39" s="7" t="str" cm="1">
        <f t="array" ref="AA39">IF(AND(ISBLANK(S39:Z39)),"","x")</f>
        <v/>
      </c>
      <c r="AT39" s="7" t="str" cm="1">
        <f t="array" ref="AT39">IF(AND(ISBLANK(AB39:AS39)),"","x")</f>
        <v/>
      </c>
      <c r="AY39" t="s">
        <v>305</v>
      </c>
      <c r="BE39" s="7" t="str" cm="1">
        <f t="array" ref="BE39">IF(AND(ISBLANK(AY39:BD39)),"","x")</f>
        <v>x</v>
      </c>
      <c r="BV39" t="s">
        <v>305</v>
      </c>
      <c r="BW39" t="s">
        <v>305</v>
      </c>
      <c r="BZ39" t="s">
        <v>305</v>
      </c>
      <c r="CC39" s="7" t="str" cm="1">
        <f t="array" ref="CC39">IF(AND(ISBLANK(BL39:CB39)),"","x")</f>
        <v>x</v>
      </c>
      <c r="DO39"/>
      <c r="DP39"/>
      <c r="DQ39"/>
    </row>
    <row r="40" spans="1:121">
      <c r="A40" t="s">
        <v>74</v>
      </c>
      <c r="B40" t="s">
        <v>70</v>
      </c>
      <c r="C40" t="s">
        <v>71</v>
      </c>
      <c r="D40" s="22" t="s">
        <v>578</v>
      </c>
      <c r="E40" s="22" t="s">
        <v>589</v>
      </c>
      <c r="K40">
        <v>2013</v>
      </c>
      <c r="L40">
        <v>2018</v>
      </c>
      <c r="M40" s="10" t="s">
        <v>662</v>
      </c>
      <c r="N40"/>
      <c r="O40" s="10"/>
      <c r="P40" s="10"/>
      <c r="Q40" s="10"/>
      <c r="AA40" s="7" t="str" cm="1">
        <f t="array" ref="AA40">IF(AND(ISBLANK(S40:Z40)),"","x")</f>
        <v/>
      </c>
      <c r="AT40" s="7" t="str" cm="1">
        <f t="array" ref="AT40">IF(AND(ISBLANK(AB40:AS40)),"","x")</f>
        <v/>
      </c>
      <c r="BE40" s="7" t="str" cm="1">
        <f t="array" ref="BE40">IF(AND(ISBLANK(AY40:BD40)),"","x")</f>
        <v/>
      </c>
      <c r="BT40" t="s">
        <v>305</v>
      </c>
      <c r="BU40" t="s">
        <v>305</v>
      </c>
      <c r="CC40" s="7" t="str" cm="1">
        <f t="array" ref="CC40">IF(AND(ISBLANK(BL40:CB40)),"","x")</f>
        <v>x</v>
      </c>
      <c r="DO40"/>
      <c r="DP40"/>
      <c r="DQ40"/>
    </row>
    <row r="41" spans="1:121">
      <c r="A41" t="s">
        <v>74</v>
      </c>
      <c r="B41" t="s">
        <v>70</v>
      </c>
      <c r="C41" t="s">
        <v>71</v>
      </c>
      <c r="D41" s="22" t="s">
        <v>832</v>
      </c>
      <c r="E41" s="22" t="s">
        <v>831</v>
      </c>
      <c r="K41" s="34"/>
      <c r="L41">
        <v>2018</v>
      </c>
      <c r="M41" s="10"/>
      <c r="N41"/>
      <c r="O41" s="10"/>
      <c r="P41" s="10"/>
      <c r="Q41" s="10"/>
      <c r="AL41" t="s">
        <v>769</v>
      </c>
      <c r="AT41" s="7" t="str" cm="1">
        <f t="array" ref="AT41">IF(AND(ISBLANK(AB41:AS41)),"","x")</f>
        <v>x</v>
      </c>
      <c r="BE41" s="7" t="str" cm="1">
        <f t="array" ref="BE41">IF(AND(ISBLANK(AY41:BD41)),"","x")</f>
        <v/>
      </c>
      <c r="DO41"/>
      <c r="DP41"/>
      <c r="DQ41"/>
    </row>
    <row r="42" spans="1:121">
      <c r="A42" t="s">
        <v>74</v>
      </c>
      <c r="B42" t="s">
        <v>568</v>
      </c>
      <c r="C42" t="s">
        <v>569</v>
      </c>
      <c r="D42" s="22" t="s">
        <v>578</v>
      </c>
      <c r="E42" s="22" t="s">
        <v>652</v>
      </c>
      <c r="K42">
        <v>2015</v>
      </c>
      <c r="L42">
        <v>2017</v>
      </c>
      <c r="M42"/>
      <c r="N42"/>
      <c r="O42"/>
      <c r="P42"/>
      <c r="Q42" s="10" t="s">
        <v>653</v>
      </c>
      <c r="AA42" s="7" t="str" cm="1">
        <f t="array" ref="AA42">IF(AND(ISBLANK(S42:Z42)),"","x")</f>
        <v/>
      </c>
      <c r="AT42" s="7" t="str" cm="1">
        <f t="array" ref="AT42">IF(AND(ISBLANK(AB42:AS42)),"","x")</f>
        <v/>
      </c>
      <c r="BE42" s="7" t="str" cm="1">
        <f t="array" ref="BE42">IF(AND(ISBLANK(AY42:BD42)),"","x")</f>
        <v/>
      </c>
      <c r="BU42" t="s">
        <v>305</v>
      </c>
      <c r="CC42" s="7" t="str" cm="1">
        <f t="array" ref="CC42">IF(AND(ISBLANK(BL42:CB42)),"","x")</f>
        <v>x</v>
      </c>
      <c r="DO42"/>
      <c r="DP42"/>
      <c r="DQ42"/>
    </row>
    <row r="43" spans="1:121">
      <c r="A43" t="s">
        <v>99</v>
      </c>
      <c r="B43" t="s">
        <v>75</v>
      </c>
      <c r="C43" t="s">
        <v>76</v>
      </c>
      <c r="D43" s="22" t="s">
        <v>578</v>
      </c>
      <c r="E43" s="22" t="s">
        <v>887</v>
      </c>
      <c r="F43" s="20" t="s">
        <v>11</v>
      </c>
      <c r="J43" s="20" t="s">
        <v>12</v>
      </c>
      <c r="K43">
        <v>2024</v>
      </c>
      <c r="L43">
        <v>2024</v>
      </c>
      <c r="M43"/>
      <c r="N43"/>
      <c r="O43"/>
      <c r="P43"/>
      <c r="Q43" s="10" t="s">
        <v>457</v>
      </c>
      <c r="Y43" t="s">
        <v>305</v>
      </c>
      <c r="AA43" s="7" t="str" cm="1">
        <f t="array" ref="AA43">IF(AND(ISBLANK(S43:Z43)),"","x")</f>
        <v>x</v>
      </c>
      <c r="AT43" s="7" t="str" cm="1">
        <f t="array" ref="AT43">IF(AND(ISBLANK(AB43:AS43)),"","x")</f>
        <v/>
      </c>
      <c r="BE43" s="7" t="str" cm="1">
        <f t="array" ref="BE43">IF(AND(ISBLANK(AY43:BD43)),"","x")</f>
        <v/>
      </c>
      <c r="CC43" s="7" t="str" cm="1">
        <f t="array" ref="CC43">IF(AND(ISBLANK(BL43:CB43)),"","x")</f>
        <v/>
      </c>
      <c r="DO43"/>
      <c r="DP43"/>
      <c r="DQ43"/>
    </row>
    <row r="44" spans="1:121">
      <c r="A44" t="s">
        <v>99</v>
      </c>
      <c r="B44" t="s">
        <v>75</v>
      </c>
      <c r="C44" t="s">
        <v>76</v>
      </c>
      <c r="D44" s="22" t="s">
        <v>578</v>
      </c>
      <c r="E44" s="22" t="s">
        <v>888</v>
      </c>
      <c r="F44" s="20" t="s">
        <v>11</v>
      </c>
      <c r="J44" s="20" t="s">
        <v>12</v>
      </c>
      <c r="K44">
        <v>2023</v>
      </c>
      <c r="L44">
        <v>2023</v>
      </c>
      <c r="M44"/>
      <c r="N44"/>
      <c r="O44"/>
      <c r="P44" s="10" t="s">
        <v>468</v>
      </c>
      <c r="Q44" s="10" t="s">
        <v>467</v>
      </c>
      <c r="X44" t="s">
        <v>305</v>
      </c>
      <c r="AA44" s="7" t="str" cm="1">
        <f t="array" ref="AA44">IF(AND(ISBLANK(S44:Z44)),"","x")</f>
        <v>x</v>
      </c>
      <c r="AT44" s="7" t="str" cm="1">
        <f t="array" ref="AT44">IF(AND(ISBLANK(AB44:AS44)),"","x")</f>
        <v/>
      </c>
      <c r="BE44" s="7" t="str" cm="1">
        <f t="array" ref="BE44">IF(AND(ISBLANK(AY44:BD44)),"","x")</f>
        <v/>
      </c>
      <c r="CC44" s="7" t="str" cm="1">
        <f t="array" ref="CC44">IF(AND(ISBLANK(BL44:CB44)),"","x")</f>
        <v/>
      </c>
      <c r="DO44"/>
      <c r="DP44"/>
      <c r="DQ44"/>
    </row>
    <row r="45" spans="1:121">
      <c r="A45" t="s">
        <v>99</v>
      </c>
      <c r="B45" t="s">
        <v>75</v>
      </c>
      <c r="C45" t="s">
        <v>76</v>
      </c>
      <c r="D45" s="22" t="s">
        <v>578</v>
      </c>
      <c r="E45" s="22" t="s">
        <v>889</v>
      </c>
      <c r="K45">
        <v>2022</v>
      </c>
      <c r="L45">
        <v>2022</v>
      </c>
      <c r="M45" s="10" t="s">
        <v>890</v>
      </c>
      <c r="N45"/>
      <c r="O45"/>
      <c r="P45" s="10"/>
      <c r="Q45" s="10"/>
      <c r="W45" t="s">
        <v>305</v>
      </c>
      <c r="AA45" s="7" t="str" cm="1">
        <f t="array" ref="AA45">IF(AND(ISBLANK(S45:Z45)),"","x")</f>
        <v>x</v>
      </c>
      <c r="AT45" s="7" t="str" cm="1">
        <f t="array" ref="AT45">IF(AND(ISBLANK(AB45:AS45)),"","x")</f>
        <v/>
      </c>
      <c r="BE45" s="7" t="str" cm="1">
        <f t="array" ref="BE45">IF(AND(ISBLANK(AY45:BD45)),"","x")</f>
        <v/>
      </c>
      <c r="CC45" s="7" t="str" cm="1">
        <f t="array" ref="CC45">IF(AND(ISBLANK(BL45:CB45)),"","x")</f>
        <v/>
      </c>
      <c r="DO45"/>
      <c r="DP45"/>
      <c r="DQ45"/>
    </row>
    <row r="46" spans="1:121">
      <c r="A46" t="s">
        <v>99</v>
      </c>
      <c r="B46" t="s">
        <v>941</v>
      </c>
      <c r="C46" t="s">
        <v>942</v>
      </c>
      <c r="D46" s="22" t="s">
        <v>943</v>
      </c>
      <c r="E46" s="22"/>
      <c r="K46">
        <v>1986</v>
      </c>
      <c r="L46">
        <v>2025</v>
      </c>
      <c r="M46" s="10" t="s">
        <v>944</v>
      </c>
      <c r="N46"/>
      <c r="O46"/>
      <c r="P46" s="10"/>
      <c r="Q46" s="10"/>
      <c r="AY46" t="s">
        <v>305</v>
      </c>
      <c r="AZ46" t="s">
        <v>305</v>
      </c>
      <c r="BB46" t="s">
        <v>305</v>
      </c>
      <c r="BE46" s="7" t="str" cm="1">
        <f t="array" ref="BE46">IF(AND(ISBLANK(AY46:BD46)),"","x")</f>
        <v>x</v>
      </c>
      <c r="DO46"/>
      <c r="DP46"/>
      <c r="DQ46"/>
    </row>
    <row r="47" spans="1:121">
      <c r="A47" t="s">
        <v>99</v>
      </c>
      <c r="B47" t="s">
        <v>990</v>
      </c>
      <c r="C47" t="s">
        <v>991</v>
      </c>
      <c r="D47" s="22" t="s">
        <v>992</v>
      </c>
      <c r="E47" s="22"/>
      <c r="K47">
        <v>2015</v>
      </c>
      <c r="L47">
        <v>2025</v>
      </c>
      <c r="M47" s="10" t="s">
        <v>993</v>
      </c>
      <c r="N47"/>
      <c r="O47"/>
      <c r="P47" s="10"/>
      <c r="Q47" s="10"/>
      <c r="BA47" t="s">
        <v>305</v>
      </c>
      <c r="BE47" s="7" t="str" cm="1">
        <f t="array" ref="BE47">IF(AND(ISBLANK(AY47:BD47)),"","x")</f>
        <v>x</v>
      </c>
      <c r="DO47"/>
      <c r="DP47"/>
      <c r="DQ47"/>
    </row>
    <row r="48" spans="1:121">
      <c r="A48" t="s">
        <v>99</v>
      </c>
      <c r="B48" t="s">
        <v>77</v>
      </c>
      <c r="C48" t="s">
        <v>78</v>
      </c>
      <c r="D48" s="22" t="s">
        <v>790</v>
      </c>
      <c r="E48" s="22" t="s">
        <v>79</v>
      </c>
      <c r="F48" s="20" t="s">
        <v>63</v>
      </c>
      <c r="J48" s="20" t="s">
        <v>44</v>
      </c>
      <c r="K48">
        <v>2018</v>
      </c>
      <c r="L48">
        <v>2019</v>
      </c>
      <c r="M48" s="10" t="s">
        <v>683</v>
      </c>
      <c r="N48"/>
      <c r="O48" s="10" t="s">
        <v>684</v>
      </c>
      <c r="P48"/>
      <c r="Q48"/>
      <c r="AA48" s="7" t="str" cm="1">
        <f t="array" ref="AA48">IF(AND(ISBLANK(S48:Z48)),"","x")</f>
        <v/>
      </c>
      <c r="AT48" s="7" t="str" cm="1">
        <f t="array" ref="AT48">IF(AND(ISBLANK(AB48:AS48)),"","x")</f>
        <v/>
      </c>
      <c r="BE48" s="7" t="str" cm="1">
        <f t="array" ref="BE48">IF(AND(ISBLANK(AY48:BD48)),"","x")</f>
        <v/>
      </c>
      <c r="BW48" t="s">
        <v>305</v>
      </c>
      <c r="CC48" s="7" t="str" cm="1">
        <f t="array" ref="CC48">IF(AND(ISBLANK(BL48:CB48)),"","x")</f>
        <v>x</v>
      </c>
      <c r="DO48"/>
      <c r="DP48"/>
      <c r="DQ48"/>
    </row>
    <row r="49" spans="1:122">
      <c r="A49" t="s">
        <v>99</v>
      </c>
      <c r="B49" t="s">
        <v>77</v>
      </c>
      <c r="C49" t="s">
        <v>78</v>
      </c>
      <c r="D49" s="22" t="s">
        <v>790</v>
      </c>
      <c r="K49">
        <v>2012</v>
      </c>
      <c r="L49">
        <v>2025</v>
      </c>
      <c r="M49" s="10" t="s">
        <v>685</v>
      </c>
      <c r="N49"/>
      <c r="O49" s="10"/>
      <c r="P49"/>
      <c r="Q49" s="10" t="s">
        <v>686</v>
      </c>
      <c r="AA49" s="7" t="str" cm="1">
        <f t="array" ref="AA49">IF(AND(ISBLANK(S49:Z49)),"","x")</f>
        <v/>
      </c>
      <c r="AT49" s="7" t="str" cm="1">
        <f t="array" ref="AT49">IF(AND(ISBLANK(AB49:AS49)),"","x")</f>
        <v/>
      </c>
      <c r="BE49" s="7" t="str" cm="1">
        <f t="array" ref="BE49">IF(AND(ISBLANK(AY49:BD49)),"","x")</f>
        <v/>
      </c>
      <c r="CC49" s="7" t="str" cm="1">
        <f t="array" ref="CC49">IF(AND(ISBLANK(BL49:CB49)),"","x")</f>
        <v/>
      </c>
      <c r="DO49" t="s">
        <v>305</v>
      </c>
      <c r="DP49" t="s">
        <v>305</v>
      </c>
      <c r="DQ49"/>
      <c r="DR49" t="s">
        <v>305</v>
      </c>
    </row>
    <row r="50" spans="1:122">
      <c r="A50" t="s">
        <v>99</v>
      </c>
      <c r="B50" t="s">
        <v>492</v>
      </c>
      <c r="C50" t="s">
        <v>493</v>
      </c>
      <c r="D50" s="23" t="s">
        <v>789</v>
      </c>
      <c r="E50" s="23" t="s">
        <v>788</v>
      </c>
      <c r="K50">
        <v>2006</v>
      </c>
      <c r="L50">
        <v>2011</v>
      </c>
      <c r="M50" s="10" t="s">
        <v>494</v>
      </c>
      <c r="N50"/>
      <c r="O50"/>
      <c r="P50"/>
      <c r="Q50"/>
      <c r="AA50" s="7" t="str" cm="1">
        <f t="array" ref="AA50">IF(AND(ISBLANK(S50:Z50)),"","x")</f>
        <v/>
      </c>
      <c r="AB50" s="20" t="s">
        <v>769</v>
      </c>
      <c r="AC50" t="s">
        <v>305</v>
      </c>
      <c r="AD50" t="s">
        <v>305</v>
      </c>
      <c r="AE50" t="s">
        <v>305</v>
      </c>
      <c r="AF50" t="s">
        <v>932</v>
      </c>
      <c r="AT50" s="7" t="str" cm="1">
        <f t="array" ref="AT50">IF(AND(ISBLANK(AB50:AS50)),"","x")</f>
        <v>x</v>
      </c>
      <c r="BE50" s="7" t="str" cm="1">
        <f t="array" ref="BE50">IF(AND(ISBLANK(AY50:BD50)),"","x")</f>
        <v/>
      </c>
      <c r="CC50" s="7" t="str" cm="1">
        <f t="array" ref="CC50">IF(AND(ISBLANK(BL50:CB50)),"","x")</f>
        <v/>
      </c>
      <c r="DO50"/>
      <c r="DP50"/>
      <c r="DQ50"/>
    </row>
    <row r="51" spans="1:122">
      <c r="A51" t="s">
        <v>99</v>
      </c>
      <c r="B51" t="s">
        <v>492</v>
      </c>
      <c r="C51" t="s">
        <v>493</v>
      </c>
      <c r="D51" s="23" t="s">
        <v>789</v>
      </c>
      <c r="E51" s="16" t="s">
        <v>791</v>
      </c>
      <c r="K51">
        <v>2011</v>
      </c>
      <c r="L51">
        <v>2025</v>
      </c>
      <c r="M51" s="10" t="s">
        <v>494</v>
      </c>
      <c r="N51"/>
      <c r="O51"/>
      <c r="P51"/>
      <c r="Q51"/>
      <c r="AA51" s="7" t="str" cm="1">
        <f t="array" ref="AA51">IF(AND(ISBLANK(S51:Z51)),"","x")</f>
        <v/>
      </c>
      <c r="AG51" t="s">
        <v>769</v>
      </c>
      <c r="AH51" t="s">
        <v>305</v>
      </c>
      <c r="AI51" t="s">
        <v>305</v>
      </c>
      <c r="AJ51" t="s">
        <v>305</v>
      </c>
      <c r="AK51" t="s">
        <v>932</v>
      </c>
      <c r="AT51" s="7" t="str" cm="1">
        <f t="array" ref="AT51">IF(AND(ISBLANK(AB51:AS51)),"","x")</f>
        <v>x</v>
      </c>
      <c r="BE51" s="7" t="str" cm="1">
        <f t="array" ref="BE51">IF(AND(ISBLANK(AY51:BD51)),"","x")</f>
        <v/>
      </c>
      <c r="CC51" s="7" t="str" cm="1">
        <f t="array" ref="CC51">IF(AND(ISBLANK(BL51:CB51)),"","x")</f>
        <v/>
      </c>
      <c r="DO51" t="s">
        <v>305</v>
      </c>
      <c r="DP51"/>
      <c r="DQ51"/>
    </row>
    <row r="52" spans="1:122">
      <c r="A52" t="s">
        <v>795</v>
      </c>
      <c r="B52" t="s">
        <v>796</v>
      </c>
      <c r="C52" t="s">
        <v>794</v>
      </c>
      <c r="D52" s="23" t="s">
        <v>793</v>
      </c>
      <c r="E52" s="16" t="s">
        <v>770</v>
      </c>
      <c r="K52">
        <v>2011</v>
      </c>
      <c r="L52">
        <v>2025</v>
      </c>
      <c r="M52" s="10" t="s">
        <v>792</v>
      </c>
      <c r="N52"/>
      <c r="O52"/>
      <c r="P52"/>
      <c r="Q52"/>
      <c r="AA52" s="7" t="str" cm="1">
        <f t="array" ref="AA52">IF(AND(ISBLANK(S52:Z52)),"","x")</f>
        <v/>
      </c>
      <c r="AK52" t="s">
        <v>769</v>
      </c>
      <c r="AL52" t="s">
        <v>305</v>
      </c>
      <c r="AM52" t="s">
        <v>305</v>
      </c>
      <c r="AN52" t="s">
        <v>305</v>
      </c>
      <c r="AO52" t="s">
        <v>305</v>
      </c>
      <c r="AP52" t="s">
        <v>932</v>
      </c>
      <c r="AT52" s="7" t="str" cm="1">
        <f t="array" ref="AT52">IF(AND(ISBLANK(AB52:AS52)),"","x")</f>
        <v>x</v>
      </c>
      <c r="BE52" s="7" t="str" cm="1">
        <f t="array" ref="BE52">IF(AND(ISBLANK(AY52:BD52)),"","x")</f>
        <v/>
      </c>
      <c r="CC52" s="7" t="str" cm="1">
        <f t="array" ref="CC52">IF(AND(ISBLANK(BL52:CB52)),"","x")</f>
        <v/>
      </c>
      <c r="DO52" t="s">
        <v>305</v>
      </c>
      <c r="DP52"/>
      <c r="DQ52"/>
    </row>
    <row r="53" spans="1:122">
      <c r="A53" t="s">
        <v>99</v>
      </c>
      <c r="B53" t="s">
        <v>80</v>
      </c>
      <c r="C53" t="s">
        <v>81</v>
      </c>
      <c r="D53" s="22" t="s">
        <v>82</v>
      </c>
      <c r="F53" s="20" t="s">
        <v>83</v>
      </c>
      <c r="J53" s="20" t="s">
        <v>84</v>
      </c>
      <c r="K53">
        <v>2023</v>
      </c>
      <c r="L53">
        <v>2025</v>
      </c>
      <c r="M53" s="10" t="s">
        <v>377</v>
      </c>
      <c r="N53"/>
      <c r="O53"/>
      <c r="P53" s="10" t="s">
        <v>379</v>
      </c>
      <c r="Q53" s="10" t="s">
        <v>378</v>
      </c>
      <c r="Z53" s="4" t="s">
        <v>305</v>
      </c>
      <c r="AA53" s="7" t="str" cm="1">
        <f t="array" ref="AA53">IF(AND(ISBLANK(S53:Z53)),"","x")</f>
        <v>x</v>
      </c>
      <c r="AT53" s="7" t="str" cm="1">
        <f t="array" ref="AT53">IF(AND(ISBLANK(AB53:AS53)),"","x")</f>
        <v/>
      </c>
      <c r="BE53" s="7" t="str" cm="1">
        <f t="array" ref="BE53">IF(AND(ISBLANK(AY53:BD53)),"","x")</f>
        <v/>
      </c>
      <c r="CC53" s="7" t="str" cm="1">
        <f t="array" ref="CC53">IF(AND(ISBLANK(BL53:CB53)),"","x")</f>
        <v/>
      </c>
    </row>
    <row r="54" spans="1:122">
      <c r="A54" t="s">
        <v>99</v>
      </c>
      <c r="B54" t="s">
        <v>80</v>
      </c>
      <c r="C54" t="s">
        <v>81</v>
      </c>
      <c r="D54" s="22" t="s">
        <v>85</v>
      </c>
      <c r="F54" s="20" t="s">
        <v>86</v>
      </c>
      <c r="M54"/>
      <c r="N54"/>
      <c r="O54"/>
      <c r="P54"/>
      <c r="Q54"/>
      <c r="AA54" s="7" t="str" cm="1">
        <f t="array" ref="AA54">IF(AND(ISBLANK(S54:Z54)),"","x")</f>
        <v/>
      </c>
      <c r="AT54" s="7" t="str" cm="1">
        <f t="array" ref="AT54">IF(AND(ISBLANK(AB54:AS54)),"","x")</f>
        <v/>
      </c>
      <c r="BE54" s="7" t="str" cm="1">
        <f t="array" ref="BE54">IF(AND(ISBLANK(AY54:BD54)),"","x")</f>
        <v/>
      </c>
      <c r="CC54" s="7" t="str" cm="1">
        <f t="array" ref="CC54">IF(AND(ISBLANK(BL54:CB54)),"","x")</f>
        <v/>
      </c>
      <c r="DO54"/>
      <c r="DP54"/>
      <c r="DQ54"/>
    </row>
    <row r="55" spans="1:122">
      <c r="A55" t="s">
        <v>99</v>
      </c>
      <c r="B55" t="s">
        <v>80</v>
      </c>
      <c r="C55" t="s">
        <v>81</v>
      </c>
      <c r="D55" s="22" t="s">
        <v>87</v>
      </c>
      <c r="F55" s="20" t="s">
        <v>35</v>
      </c>
      <c r="M55"/>
      <c r="N55"/>
      <c r="O55"/>
      <c r="P55"/>
      <c r="Q55"/>
      <c r="AA55" s="7" t="str" cm="1">
        <f t="array" ref="AA55">IF(AND(ISBLANK(S55:Z55)),"","x")</f>
        <v/>
      </c>
      <c r="AT55" s="7" t="str" cm="1">
        <f t="array" ref="AT55">IF(AND(ISBLANK(AB55:AS55)),"","x")</f>
        <v/>
      </c>
      <c r="BE55" s="7" t="str" cm="1">
        <f t="array" ref="BE55">IF(AND(ISBLANK(AY55:BD55)),"","x")</f>
        <v/>
      </c>
      <c r="CC55" s="7" t="str" cm="1">
        <f t="array" ref="CC55">IF(AND(ISBLANK(BL55:CB55)),"","x")</f>
        <v/>
      </c>
      <c r="DO55"/>
      <c r="DP55"/>
      <c r="DQ55"/>
    </row>
    <row r="56" spans="1:122">
      <c r="A56" t="s">
        <v>99</v>
      </c>
      <c r="B56" t="s">
        <v>80</v>
      </c>
      <c r="C56" t="s">
        <v>81</v>
      </c>
      <c r="D56" s="22" t="s">
        <v>88</v>
      </c>
      <c r="F56" s="20" t="s">
        <v>89</v>
      </c>
      <c r="M56"/>
      <c r="N56"/>
      <c r="O56"/>
      <c r="P56"/>
      <c r="Q56"/>
      <c r="AA56" s="7" t="str" cm="1">
        <f t="array" ref="AA56">IF(AND(ISBLANK(S56:Z56)),"","x")</f>
        <v/>
      </c>
      <c r="AT56" s="7" t="str" cm="1">
        <f t="array" ref="AT56">IF(AND(ISBLANK(AB56:AS56)),"","x")</f>
        <v/>
      </c>
      <c r="BE56" s="7" t="str" cm="1">
        <f t="array" ref="BE56">IF(AND(ISBLANK(AY56:BD56)),"","x")</f>
        <v/>
      </c>
      <c r="CC56" s="7" t="str" cm="1">
        <f t="array" ref="CC56">IF(AND(ISBLANK(BL56:CB56)),"","x")</f>
        <v/>
      </c>
      <c r="DO56"/>
      <c r="DP56"/>
      <c r="DQ56"/>
    </row>
    <row r="57" spans="1:122">
      <c r="A57" t="s">
        <v>99</v>
      </c>
      <c r="B57" t="s">
        <v>80</v>
      </c>
      <c r="C57" t="s">
        <v>81</v>
      </c>
      <c r="D57" s="22" t="s">
        <v>90</v>
      </c>
      <c r="F57" s="20" t="s">
        <v>32</v>
      </c>
      <c r="M57"/>
      <c r="N57"/>
      <c r="O57"/>
      <c r="P57"/>
      <c r="Q57"/>
      <c r="AA57" s="7" t="str" cm="1">
        <f t="array" ref="AA57">IF(AND(ISBLANK(S57:Z57)),"","x")</f>
        <v/>
      </c>
      <c r="AT57" s="7" t="str" cm="1">
        <f t="array" ref="AT57">IF(AND(ISBLANK(AB57:AS57)),"","x")</f>
        <v/>
      </c>
      <c r="BE57" s="7" t="str" cm="1">
        <f t="array" ref="BE57">IF(AND(ISBLANK(AY57:BD57)),"","x")</f>
        <v/>
      </c>
      <c r="CC57" s="7" t="str" cm="1">
        <f t="array" ref="CC57">IF(AND(ISBLANK(BL57:CB57)),"","x")</f>
        <v/>
      </c>
      <c r="DO57"/>
      <c r="DP57"/>
      <c r="DQ57"/>
    </row>
    <row r="58" spans="1:122">
      <c r="A58" t="s">
        <v>99</v>
      </c>
      <c r="B58" t="s">
        <v>80</v>
      </c>
      <c r="C58" t="s">
        <v>81</v>
      </c>
      <c r="D58" s="22" t="s">
        <v>578</v>
      </c>
      <c r="E58" s="22" t="s">
        <v>91</v>
      </c>
      <c r="F58" s="20" t="s">
        <v>14</v>
      </c>
      <c r="J58" s="20" t="s">
        <v>15</v>
      </c>
      <c r="L58">
        <v>2018</v>
      </c>
      <c r="M58" s="10" t="s">
        <v>664</v>
      </c>
      <c r="N58"/>
      <c r="O58" s="10" t="s">
        <v>665</v>
      </c>
      <c r="P58"/>
      <c r="Q58"/>
      <c r="AA58" s="7" t="str" cm="1">
        <f t="array" ref="AA58">IF(AND(ISBLANK(S58:Z58)),"","x")</f>
        <v/>
      </c>
      <c r="AT58" s="7" t="str" cm="1">
        <f t="array" ref="AT58">IF(AND(ISBLANK(AB58:AS58)),"","x")</f>
        <v/>
      </c>
      <c r="BE58" s="7" t="str" cm="1">
        <f t="array" ref="BE58">IF(AND(ISBLANK(AY58:BD58)),"","x")</f>
        <v/>
      </c>
      <c r="BV58" t="s">
        <v>305</v>
      </c>
      <c r="CC58" s="7" t="str" cm="1">
        <f t="array" ref="CC58">IF(AND(ISBLANK(BL58:CB58)),"","x")</f>
        <v>x</v>
      </c>
      <c r="DO58"/>
      <c r="DP58"/>
      <c r="DQ58"/>
    </row>
    <row r="59" spans="1:122">
      <c r="A59" t="s">
        <v>99</v>
      </c>
      <c r="B59" s="1" t="s">
        <v>80</v>
      </c>
      <c r="C59" t="s">
        <v>92</v>
      </c>
      <c r="D59" s="22" t="s">
        <v>93</v>
      </c>
      <c r="F59" s="20" t="s">
        <v>32</v>
      </c>
      <c r="J59" s="20" t="s">
        <v>94</v>
      </c>
      <c r="K59">
        <v>1995</v>
      </c>
      <c r="L59">
        <v>2025</v>
      </c>
      <c r="M59"/>
      <c r="N59"/>
      <c r="O59"/>
      <c r="P59"/>
      <c r="Q59"/>
      <c r="AA59" s="7" t="str" cm="1">
        <f t="array" ref="AA59">IF(AND(ISBLANK(S59:Z59)),"","x")</f>
        <v/>
      </c>
      <c r="AT59" s="7" t="str" cm="1">
        <f t="array" ref="AT59">IF(AND(ISBLANK(AB59:AS59)),"","x")</f>
        <v/>
      </c>
      <c r="BE59" s="7" t="str" cm="1">
        <f t="array" ref="BE59">IF(AND(ISBLANK(AY59:BD59)),"","x")</f>
        <v/>
      </c>
      <c r="CC59" s="7" t="str" cm="1">
        <f t="array" ref="CC59">IF(AND(ISBLANK(BL59:CB59)),"","x")</f>
        <v/>
      </c>
      <c r="DO59"/>
      <c r="DP59"/>
      <c r="DQ59"/>
    </row>
    <row r="60" spans="1:122">
      <c r="A60" t="s">
        <v>99</v>
      </c>
      <c r="D60" s="22" t="s">
        <v>95</v>
      </c>
      <c r="F60" s="20" t="s">
        <v>35</v>
      </c>
      <c r="M60"/>
      <c r="N60"/>
      <c r="O60"/>
      <c r="P60"/>
      <c r="Q60"/>
      <c r="AA60" s="7" t="str" cm="1">
        <f t="array" ref="AA60">IF(AND(ISBLANK(S60:Z60)),"","x")</f>
        <v/>
      </c>
      <c r="AT60" s="7" t="str" cm="1">
        <f t="array" ref="AT60">IF(AND(ISBLANK(AB60:AS60)),"","x")</f>
        <v/>
      </c>
      <c r="BE60" s="7" t="str" cm="1">
        <f t="array" ref="BE60">IF(AND(ISBLANK(AY60:BD60)),"","x")</f>
        <v/>
      </c>
      <c r="CC60" s="7" t="str" cm="1">
        <f t="array" ref="CC60">IF(AND(ISBLANK(BL60:CB60)),"","x")</f>
        <v/>
      </c>
      <c r="DO60"/>
      <c r="DP60"/>
      <c r="DQ60"/>
    </row>
    <row r="61" spans="1:122">
      <c r="A61" t="s">
        <v>99</v>
      </c>
      <c r="D61" s="22" t="s">
        <v>96</v>
      </c>
      <c r="F61" s="20" t="s">
        <v>11</v>
      </c>
      <c r="M61"/>
      <c r="N61"/>
      <c r="O61"/>
      <c r="P61"/>
      <c r="Q61"/>
      <c r="AA61" s="7" t="str" cm="1">
        <f t="array" ref="AA61">IF(AND(ISBLANK(S61:Z61)),"","x")</f>
        <v/>
      </c>
      <c r="AT61" s="7" t="str" cm="1">
        <f t="array" ref="AT61">IF(AND(ISBLANK(AB61:AS61)),"","x")</f>
        <v/>
      </c>
      <c r="BE61" s="7" t="str" cm="1">
        <f t="array" ref="BE61">IF(AND(ISBLANK(AY61:BD61)),"","x")</f>
        <v/>
      </c>
      <c r="CC61" s="7" t="str" cm="1">
        <f t="array" ref="CC61">IF(AND(ISBLANK(BL61:CB61)),"","x")</f>
        <v/>
      </c>
      <c r="DO61"/>
      <c r="DP61"/>
      <c r="DQ61"/>
    </row>
    <row r="62" spans="1:122">
      <c r="A62" t="s">
        <v>99</v>
      </c>
      <c r="D62" s="22" t="s">
        <v>97</v>
      </c>
      <c r="F62" s="20" t="s">
        <v>32</v>
      </c>
      <c r="J62" s="20" t="s">
        <v>98</v>
      </c>
      <c r="K62">
        <v>2020</v>
      </c>
      <c r="L62">
        <v>2025</v>
      </c>
      <c r="M62"/>
      <c r="N62"/>
      <c r="O62"/>
      <c r="P62"/>
      <c r="Q62"/>
      <c r="AA62" s="7" t="str" cm="1">
        <f t="array" ref="AA62">IF(AND(ISBLANK(S62:Z62)),"","x")</f>
        <v/>
      </c>
      <c r="AT62" s="7" t="str" cm="1">
        <f t="array" ref="AT62">IF(AND(ISBLANK(AB62:AS62)),"","x")</f>
        <v/>
      </c>
      <c r="BE62" s="7" t="str" cm="1">
        <f t="array" ref="BE62">IF(AND(ISBLANK(AY62:BD62)),"","x")</f>
        <v/>
      </c>
      <c r="CC62" s="7" t="str" cm="1">
        <f t="array" ref="CC62">IF(AND(ISBLANK(BL62:CB62)),"","x")</f>
        <v/>
      </c>
      <c r="DO62"/>
      <c r="DP62"/>
      <c r="DQ62"/>
    </row>
    <row r="63" spans="1:122">
      <c r="A63" t="s">
        <v>119</v>
      </c>
      <c r="B63" t="s">
        <v>100</v>
      </c>
      <c r="C63" t="s">
        <v>101</v>
      </c>
      <c r="D63" s="22" t="s">
        <v>102</v>
      </c>
      <c r="F63" s="20" t="s">
        <v>11</v>
      </c>
      <c r="J63" s="20" t="s">
        <v>12</v>
      </c>
      <c r="K63">
        <v>2016</v>
      </c>
      <c r="L63">
        <v>2025</v>
      </c>
      <c r="M63" s="10" t="s">
        <v>355</v>
      </c>
      <c r="N63" s="10" t="s">
        <v>356</v>
      </c>
      <c r="O63"/>
      <c r="P63" s="10" t="s">
        <v>358</v>
      </c>
      <c r="Q63" s="10" t="s">
        <v>357</v>
      </c>
      <c r="V63" t="s">
        <v>305</v>
      </c>
      <c r="W63" t="s">
        <v>305</v>
      </c>
      <c r="X63" t="s">
        <v>305</v>
      </c>
      <c r="Y63" t="s">
        <v>305</v>
      </c>
      <c r="Z63" s="4" t="s">
        <v>305</v>
      </c>
      <c r="AA63" s="7" t="str" cm="1">
        <f t="array" ref="AA63">IF(AND(ISBLANK(S63:Z63)),"","x")</f>
        <v>x</v>
      </c>
      <c r="AT63" s="7" t="str" cm="1">
        <f t="array" ref="AT63">IF(AND(ISBLANK(AB63:AS63)),"","x")</f>
        <v/>
      </c>
      <c r="BE63" s="7" t="str" cm="1">
        <f t="array" ref="BE63">IF(AND(ISBLANK(AY63:BD63)),"","x")</f>
        <v/>
      </c>
      <c r="CC63" s="7" t="str" cm="1">
        <f t="array" ref="CC63">IF(AND(ISBLANK(BL63:CB63)),"","x")</f>
        <v/>
      </c>
    </row>
    <row r="64" spans="1:122">
      <c r="A64" t="s">
        <v>119</v>
      </c>
      <c r="B64" t="s">
        <v>100</v>
      </c>
      <c r="C64" t="s">
        <v>101</v>
      </c>
      <c r="D64" s="22" t="s">
        <v>958</v>
      </c>
      <c r="K64">
        <v>2016</v>
      </c>
      <c r="L64">
        <v>2025</v>
      </c>
      <c r="M64" s="10" t="s">
        <v>957</v>
      </c>
      <c r="N64" s="10"/>
      <c r="O64" s="10" t="s">
        <v>960</v>
      </c>
      <c r="P64" s="10" t="s">
        <v>959</v>
      </c>
      <c r="Q64" s="10" t="s">
        <v>961</v>
      </c>
      <c r="AY64" t="s">
        <v>305</v>
      </c>
      <c r="BE64" s="7" t="str" cm="1">
        <f t="array" ref="BE64">IF(AND(ISBLANK(AY64:BD64)),"","x")</f>
        <v>x</v>
      </c>
    </row>
    <row r="65" spans="1:121">
      <c r="A65" t="s">
        <v>119</v>
      </c>
      <c r="B65" t="s">
        <v>100</v>
      </c>
      <c r="C65" t="s">
        <v>101</v>
      </c>
      <c r="D65" s="22" t="s">
        <v>578</v>
      </c>
      <c r="E65" s="22" t="s">
        <v>588</v>
      </c>
      <c r="K65">
        <v>2015</v>
      </c>
      <c r="L65">
        <v>2017</v>
      </c>
      <c r="M65" s="10" t="s">
        <v>638</v>
      </c>
      <c r="N65" s="10"/>
      <c r="O65"/>
      <c r="P65" s="10"/>
      <c r="Q65" s="10"/>
      <c r="AA65" s="7" t="str" cm="1">
        <f t="array" ref="AA65">IF(AND(ISBLANK(S65:Z65)),"","x")</f>
        <v/>
      </c>
      <c r="AT65" s="7" t="str" cm="1">
        <f t="array" ref="AT65">IF(AND(ISBLANK(AB65:AS65)),"","x")</f>
        <v/>
      </c>
      <c r="BE65" s="7" t="str" cm="1">
        <f t="array" ref="BE65">IF(AND(ISBLANK(AY65:BD65)),"","x")</f>
        <v/>
      </c>
      <c r="BT65" t="s">
        <v>305</v>
      </c>
      <c r="BU65" t="s">
        <v>305</v>
      </c>
      <c r="CC65" s="7" t="str" cm="1">
        <f t="array" ref="CC65">IF(AND(ISBLANK(BL65:CB65)),"","x")</f>
        <v>x</v>
      </c>
    </row>
    <row r="66" spans="1:121">
      <c r="A66" t="s">
        <v>119</v>
      </c>
      <c r="B66" t="s">
        <v>100</v>
      </c>
      <c r="C66" t="s">
        <v>101</v>
      </c>
      <c r="D66" s="22" t="s">
        <v>480</v>
      </c>
      <c r="K66">
        <v>2017</v>
      </c>
      <c r="L66">
        <v>2025</v>
      </c>
      <c r="M66" s="10" t="s">
        <v>891</v>
      </c>
      <c r="N66" s="10"/>
      <c r="O66"/>
      <c r="P66" s="10" t="s">
        <v>892</v>
      </c>
      <c r="Q66" s="10" t="s">
        <v>893</v>
      </c>
      <c r="U66" t="s">
        <v>305</v>
      </c>
      <c r="AA66" s="7" t="str" cm="1">
        <f t="array" ref="AA66">IF(AND(ISBLANK(S66:Z66)),"","x")</f>
        <v>x</v>
      </c>
      <c r="AT66" s="7" t="str" cm="1">
        <f t="array" ref="AT66">IF(AND(ISBLANK(AB66:AS66)),"","x")</f>
        <v/>
      </c>
      <c r="BE66" s="7" t="str" cm="1">
        <f t="array" ref="BE66">IF(AND(ISBLANK(AY66:BD66)),"","x")</f>
        <v/>
      </c>
      <c r="CC66" s="7" t="str" cm="1">
        <f t="array" ref="CC66">IF(AND(ISBLANK(BL66:CB66)),"","x")</f>
        <v/>
      </c>
    </row>
    <row r="67" spans="1:121">
      <c r="A67" t="s">
        <v>119</v>
      </c>
      <c r="B67" t="s">
        <v>100</v>
      </c>
      <c r="C67" t="s">
        <v>101</v>
      </c>
      <c r="D67" s="23" t="s">
        <v>812</v>
      </c>
      <c r="E67" s="16" t="s">
        <v>828</v>
      </c>
      <c r="F67" s="20" t="s">
        <v>35</v>
      </c>
      <c r="J67" s="20" t="s">
        <v>36</v>
      </c>
      <c r="K67">
        <v>2007</v>
      </c>
      <c r="L67">
        <v>2025</v>
      </c>
      <c r="M67" s="10" t="s">
        <v>511</v>
      </c>
      <c r="N67"/>
      <c r="O67"/>
      <c r="P67"/>
      <c r="Q67"/>
      <c r="R67" s="18" t="s">
        <v>510</v>
      </c>
      <c r="AA67" s="7" t="str" cm="1">
        <f t="array" ref="AA67">IF(AND(ISBLANK(S67:Z67)),"","x")</f>
        <v/>
      </c>
      <c r="AK67" t="s">
        <v>769</v>
      </c>
      <c r="AL67" t="s">
        <v>305</v>
      </c>
      <c r="AM67" t="s">
        <v>305</v>
      </c>
      <c r="AN67" t="s">
        <v>305</v>
      </c>
      <c r="AO67" t="s">
        <v>305</v>
      </c>
      <c r="AP67" t="s">
        <v>305</v>
      </c>
      <c r="AQ67" t="s">
        <v>305</v>
      </c>
      <c r="AR67" t="s">
        <v>933</v>
      </c>
      <c r="AS67" s="4" t="s">
        <v>305</v>
      </c>
      <c r="AT67" s="7" t="str" cm="1">
        <f t="array" ref="AT67">IF(AND(ISBLANK(AB67:AS67)),"","x")</f>
        <v>x</v>
      </c>
      <c r="BE67" s="7" t="str" cm="1">
        <f t="array" ref="BE67">IF(AND(ISBLANK(AY67:BD67)),"","x")</f>
        <v/>
      </c>
      <c r="CC67" s="7" t="str" cm="1">
        <f t="array" ref="CC67">IF(AND(ISBLANK(BL67:CB67)),"","x")</f>
        <v/>
      </c>
      <c r="DO67" t="s">
        <v>305</v>
      </c>
      <c r="DP67"/>
      <c r="DQ67"/>
    </row>
    <row r="68" spans="1:121">
      <c r="A68" t="s">
        <v>119</v>
      </c>
      <c r="B68" t="s">
        <v>546</v>
      </c>
      <c r="C68" t="s">
        <v>547</v>
      </c>
      <c r="D68" s="24" t="s">
        <v>548</v>
      </c>
      <c r="E68" s="15"/>
      <c r="K68">
        <v>2015</v>
      </c>
      <c r="L68">
        <v>2016</v>
      </c>
      <c r="M68" s="10" t="s">
        <v>549</v>
      </c>
      <c r="N68" s="10" t="s">
        <v>550</v>
      </c>
      <c r="O68" s="10" t="s">
        <v>551</v>
      </c>
      <c r="P68"/>
      <c r="Q68"/>
      <c r="R68" s="18"/>
      <c r="AA68" s="7" t="str" cm="1">
        <f t="array" ref="AA68">IF(AND(ISBLANK(S68:Z68)),"","x")</f>
        <v/>
      </c>
      <c r="AT68" s="7" t="str" cm="1">
        <f t="array" ref="AT68">IF(AND(ISBLANK(AB68:AS68)),"","x")</f>
        <v/>
      </c>
      <c r="BE68" s="7" t="str" cm="1">
        <f t="array" ref="BE68">IF(AND(ISBLANK(AY68:BD68)),"","x")</f>
        <v/>
      </c>
      <c r="BT68" t="s">
        <v>305</v>
      </c>
      <c r="CC68" s="7" t="str" cm="1">
        <f t="array" ref="CC68">IF(AND(ISBLANK(BL68:CB68)),"","x")</f>
        <v>x</v>
      </c>
      <c r="DO68"/>
      <c r="DP68"/>
      <c r="DQ68"/>
    </row>
    <row r="69" spans="1:121">
      <c r="A69" t="s">
        <v>119</v>
      </c>
      <c r="B69" t="s">
        <v>546</v>
      </c>
      <c r="C69" t="s">
        <v>547</v>
      </c>
      <c r="D69" s="24" t="s">
        <v>953</v>
      </c>
      <c r="E69" s="15"/>
      <c r="L69">
        <v>2025</v>
      </c>
      <c r="M69" s="10" t="s">
        <v>955</v>
      </c>
      <c r="N69" s="10"/>
      <c r="O69" s="10" t="s">
        <v>954</v>
      </c>
      <c r="P69" s="10" t="s">
        <v>956</v>
      </c>
      <c r="Q69"/>
      <c r="R69" s="18"/>
      <c r="AY69" t="s">
        <v>305</v>
      </c>
      <c r="BC69" t="s">
        <v>305</v>
      </c>
      <c r="BE69" s="7" t="str" cm="1">
        <f t="array" ref="BE69">IF(AND(ISBLANK(AY69:BD69)),"","x")</f>
        <v>x</v>
      </c>
      <c r="DO69"/>
      <c r="DP69"/>
      <c r="DQ69"/>
    </row>
    <row r="70" spans="1:121">
      <c r="A70" t="s">
        <v>119</v>
      </c>
      <c r="B70" t="s">
        <v>819</v>
      </c>
      <c r="C70" t="s">
        <v>821</v>
      </c>
      <c r="D70" s="24" t="s">
        <v>578</v>
      </c>
      <c r="E70" s="15" t="s">
        <v>822</v>
      </c>
      <c r="K70">
        <v>2019</v>
      </c>
      <c r="L70">
        <v>2025</v>
      </c>
      <c r="M70" s="10" t="s">
        <v>820</v>
      </c>
      <c r="N70" s="10" t="s">
        <v>825</v>
      </c>
      <c r="O70" s="10"/>
      <c r="P70" s="10" t="s">
        <v>824</v>
      </c>
      <c r="Q70" s="10" t="s">
        <v>826</v>
      </c>
      <c r="R70" s="18"/>
      <c r="AN70" t="s">
        <v>769</v>
      </c>
      <c r="AO70" t="s">
        <v>305</v>
      </c>
      <c r="AP70" t="s">
        <v>305</v>
      </c>
      <c r="AQ70" t="s">
        <v>305</v>
      </c>
      <c r="AR70" t="s">
        <v>305</v>
      </c>
      <c r="AS70" s="4" t="s">
        <v>305</v>
      </c>
      <c r="AT70" s="7" t="str" cm="1">
        <f t="array" ref="AT70">IF(AND(ISBLANK(AB70:AS70)),"","x")</f>
        <v>x</v>
      </c>
      <c r="BE70" s="7" t="str" cm="1">
        <f t="array" ref="BE70">IF(AND(ISBLANK(AY70:BD70)),"","x")</f>
        <v/>
      </c>
      <c r="DO70"/>
      <c r="DP70"/>
      <c r="DQ70"/>
    </row>
    <row r="71" spans="1:121">
      <c r="A71" t="s">
        <v>119</v>
      </c>
      <c r="B71" t="s">
        <v>103</v>
      </c>
      <c r="C71" t="s">
        <v>104</v>
      </c>
      <c r="D71" s="22" t="s">
        <v>105</v>
      </c>
      <c r="F71" s="20" t="s">
        <v>11</v>
      </c>
      <c r="J71" s="20" t="s">
        <v>12</v>
      </c>
      <c r="K71">
        <v>2023</v>
      </c>
      <c r="L71">
        <v>2025</v>
      </c>
      <c r="M71" s="10" t="s">
        <v>409</v>
      </c>
      <c r="N71"/>
      <c r="O71"/>
      <c r="P71" s="10" t="s">
        <v>823</v>
      </c>
      <c r="Q71" s="10" t="s">
        <v>410</v>
      </c>
      <c r="Z71" s="4" t="s">
        <v>305</v>
      </c>
      <c r="AA71" s="7" t="str" cm="1">
        <f t="array" ref="AA71">IF(AND(ISBLANK(S71:Z71)),"","x")</f>
        <v>x</v>
      </c>
      <c r="AT71" s="7" t="str" cm="1">
        <f t="array" ref="AT71">IF(AND(ISBLANK(AB71:AS71)),"","x")</f>
        <v/>
      </c>
      <c r="BE71" s="7" t="str" cm="1">
        <f t="array" ref="BE71">IF(AND(ISBLANK(AY71:BD71)),"","x")</f>
        <v/>
      </c>
      <c r="CC71" s="7" t="str" cm="1">
        <f t="array" ref="CC71">IF(AND(ISBLANK(BL71:CB71)),"","x")</f>
        <v/>
      </c>
    </row>
    <row r="72" spans="1:121">
      <c r="A72" t="s">
        <v>119</v>
      </c>
      <c r="B72" t="s">
        <v>106</v>
      </c>
      <c r="C72" t="s">
        <v>107</v>
      </c>
      <c r="D72" s="22" t="s">
        <v>578</v>
      </c>
      <c r="E72" s="22" t="s">
        <v>719</v>
      </c>
      <c r="F72" s="20" t="s">
        <v>63</v>
      </c>
      <c r="J72" s="20" t="s">
        <v>44</v>
      </c>
      <c r="K72">
        <v>2020</v>
      </c>
      <c r="L72">
        <v>2021</v>
      </c>
      <c r="M72" s="29" t="s">
        <v>578</v>
      </c>
      <c r="N72" t="s">
        <v>578</v>
      </c>
      <c r="O72" t="s">
        <v>578</v>
      </c>
      <c r="P72" t="s">
        <v>578</v>
      </c>
      <c r="Q72" t="s">
        <v>578</v>
      </c>
      <c r="AA72" s="7" t="str" cm="1">
        <f t="array" ref="AA72">IF(AND(ISBLANK(S72:Z72)),"","x")</f>
        <v/>
      </c>
      <c r="AT72" s="7" t="str" cm="1">
        <f t="array" ref="AT72">IF(AND(ISBLANK(AB72:AS72)),"","x")</f>
        <v/>
      </c>
      <c r="BE72" s="7" t="str" cm="1">
        <f t="array" ref="BE72">IF(AND(ISBLANK(AY72:BD72)),"","x")</f>
        <v/>
      </c>
      <c r="BX72" t="s">
        <v>305</v>
      </c>
      <c r="CC72" s="7" t="str" cm="1">
        <f t="array" ref="CC72">IF(AND(ISBLANK(BL72:CB72)),"","x")</f>
        <v>x</v>
      </c>
      <c r="DO72"/>
      <c r="DP72"/>
      <c r="DQ72"/>
    </row>
    <row r="73" spans="1:121">
      <c r="A73" t="s">
        <v>119</v>
      </c>
      <c r="B73" t="s">
        <v>108</v>
      </c>
      <c r="C73" t="s">
        <v>109</v>
      </c>
      <c r="D73" s="22" t="s">
        <v>578</v>
      </c>
      <c r="E73" s="22" t="s">
        <v>110</v>
      </c>
      <c r="F73" s="20" t="s">
        <v>111</v>
      </c>
      <c r="J73" s="20" t="s">
        <v>44</v>
      </c>
      <c r="K73">
        <v>2022</v>
      </c>
      <c r="L73">
        <v>2023</v>
      </c>
      <c r="M73" s="29" t="s">
        <v>729</v>
      </c>
      <c r="N73"/>
      <c r="O73"/>
      <c r="P73"/>
      <c r="Q73"/>
      <c r="AA73" s="7" t="str" cm="1">
        <f t="array" ref="AA73">IF(AND(ISBLANK(S73:Z73)),"","x")</f>
        <v/>
      </c>
      <c r="AT73" s="7" t="str" cm="1">
        <f t="array" ref="AT73">IF(AND(ISBLANK(AB73:AS73)),"","x")</f>
        <v/>
      </c>
      <c r="BE73" s="7" t="str" cm="1">
        <f t="array" ref="BE73">IF(AND(ISBLANK(AY73:BD73)),"","x")</f>
        <v/>
      </c>
      <c r="BZ73" t="s">
        <v>305</v>
      </c>
      <c r="CC73" s="7" t="str" cm="1">
        <f t="array" ref="CC73">IF(AND(ISBLANK(BL73:CB73)),"","x")</f>
        <v>x</v>
      </c>
      <c r="DO73"/>
      <c r="DP73"/>
      <c r="DQ73"/>
    </row>
    <row r="74" spans="1:121">
      <c r="A74" t="s">
        <v>119</v>
      </c>
      <c r="B74" t="s">
        <v>108</v>
      </c>
      <c r="C74" t="s">
        <v>109</v>
      </c>
      <c r="D74" s="22" t="s">
        <v>1043</v>
      </c>
      <c r="E74" s="22"/>
      <c r="L74">
        <v>2025</v>
      </c>
      <c r="M74" s="29" t="s">
        <v>1042</v>
      </c>
      <c r="N74"/>
      <c r="O74"/>
      <c r="P74"/>
      <c r="Q74"/>
      <c r="BC74" t="s">
        <v>305</v>
      </c>
      <c r="BE74" s="7" t="str" cm="1">
        <f t="array" ref="BE74">IF(AND(ISBLANK(AY74:BD74)),"","x")</f>
        <v>x</v>
      </c>
      <c r="DO74"/>
      <c r="DP74"/>
      <c r="DQ74"/>
    </row>
    <row r="75" spans="1:121">
      <c r="A75" t="s">
        <v>119</v>
      </c>
      <c r="B75" t="s">
        <v>108</v>
      </c>
      <c r="C75" t="s">
        <v>860</v>
      </c>
      <c r="D75" s="22" t="s">
        <v>578</v>
      </c>
      <c r="E75" s="22" t="s">
        <v>861</v>
      </c>
      <c r="K75">
        <v>2022</v>
      </c>
      <c r="L75">
        <v>2025</v>
      </c>
      <c r="M75" s="29" t="s">
        <v>863</v>
      </c>
      <c r="N75"/>
      <c r="O75"/>
      <c r="P75"/>
      <c r="Q75"/>
      <c r="R75" s="18" t="s">
        <v>862</v>
      </c>
      <c r="AP75" t="s">
        <v>769</v>
      </c>
      <c r="AQ75" t="s">
        <v>305</v>
      </c>
      <c r="AR75" t="s">
        <v>305</v>
      </c>
      <c r="AS75" s="4" t="s">
        <v>305</v>
      </c>
      <c r="AT75" s="7" t="str" cm="1">
        <f t="array" ref="AT75">IF(AND(ISBLANK(AB75:AS75)),"","x")</f>
        <v>x</v>
      </c>
      <c r="BE75" s="7" t="str" cm="1">
        <f t="array" ref="BE75">IF(AND(ISBLANK(AY75:BD75)),"","x")</f>
        <v/>
      </c>
      <c r="DO75"/>
      <c r="DP75"/>
      <c r="DQ75"/>
    </row>
    <row r="76" spans="1:121">
      <c r="A76" t="s">
        <v>119</v>
      </c>
      <c r="B76" t="s">
        <v>108</v>
      </c>
      <c r="C76" t="s">
        <v>860</v>
      </c>
      <c r="D76" s="22" t="s">
        <v>1005</v>
      </c>
      <c r="E76" s="22"/>
      <c r="K76">
        <v>2018</v>
      </c>
      <c r="L76">
        <v>2025</v>
      </c>
      <c r="M76" s="29" t="s">
        <v>1006</v>
      </c>
      <c r="N76"/>
      <c r="O76"/>
      <c r="P76"/>
      <c r="Q76" s="10" t="s">
        <v>1007</v>
      </c>
      <c r="R76" s="18"/>
      <c r="BA76" t="s">
        <v>305</v>
      </c>
      <c r="BB76" t="s">
        <v>305</v>
      </c>
      <c r="BC76" t="s">
        <v>305</v>
      </c>
      <c r="BE76" s="7" t="str" cm="1">
        <f t="array" ref="BE76">IF(AND(ISBLANK(AY76:BD76)),"","x")</f>
        <v>x</v>
      </c>
      <c r="DO76"/>
      <c r="DP76"/>
      <c r="DQ76"/>
    </row>
    <row r="77" spans="1:121">
      <c r="A77" t="s">
        <v>119</v>
      </c>
      <c r="B77" t="s">
        <v>554</v>
      </c>
      <c r="C77" t="s">
        <v>555</v>
      </c>
      <c r="D77" s="22" t="s">
        <v>578</v>
      </c>
      <c r="E77" s="22" t="s">
        <v>556</v>
      </c>
      <c r="K77">
        <v>2014</v>
      </c>
      <c r="L77">
        <v>2015</v>
      </c>
      <c r="O77" s="27" t="s">
        <v>606</v>
      </c>
      <c r="AA77" s="7" t="str" cm="1">
        <f t="array" ref="AA77">IF(AND(ISBLANK(S77:Z77)),"","x")</f>
        <v/>
      </c>
      <c r="AT77" s="7" t="str" cm="1">
        <f t="array" ref="AT77">IF(AND(ISBLANK(AB77:AS77)),"","x")</f>
        <v/>
      </c>
      <c r="BE77" s="7" t="str" cm="1">
        <f t="array" ref="BE77">IF(AND(ISBLANK(AY77:BD77)),"","x")</f>
        <v/>
      </c>
      <c r="BS77" t="s">
        <v>305</v>
      </c>
      <c r="CC77" s="7" t="str" cm="1">
        <f t="array" ref="CC77">IF(AND(ISBLANK(BL77:CB77)),"","x")</f>
        <v>x</v>
      </c>
      <c r="DO77"/>
      <c r="DP77"/>
      <c r="DQ77"/>
    </row>
    <row r="78" spans="1:121">
      <c r="A78" t="s">
        <v>119</v>
      </c>
      <c r="B78" t="s">
        <v>112</v>
      </c>
      <c r="C78" t="s">
        <v>113</v>
      </c>
      <c r="D78" s="22" t="s">
        <v>114</v>
      </c>
      <c r="F78" s="20" t="s">
        <v>11</v>
      </c>
      <c r="J78" s="20" t="s">
        <v>12</v>
      </c>
      <c r="K78">
        <v>2025</v>
      </c>
      <c r="L78">
        <v>2025</v>
      </c>
      <c r="M78" s="10" t="s">
        <v>351</v>
      </c>
      <c r="N78" s="10" t="s">
        <v>352</v>
      </c>
      <c r="O78"/>
      <c r="P78" s="10" t="s">
        <v>354</v>
      </c>
      <c r="Q78" s="10" t="s">
        <v>353</v>
      </c>
      <c r="Z78" s="4" t="s">
        <v>305</v>
      </c>
      <c r="AA78" s="7" t="str" cm="1">
        <f t="array" ref="AA78">IF(AND(ISBLANK(S78:Z78)),"","x")</f>
        <v>x</v>
      </c>
      <c r="AT78" s="7" t="str" cm="1">
        <f t="array" ref="AT78">IF(AND(ISBLANK(AB78:AS78)),"","x")</f>
        <v/>
      </c>
      <c r="BE78" s="7" t="str" cm="1">
        <f t="array" ref="BE78">IF(AND(ISBLANK(AY78:BD78)),"","x")</f>
        <v/>
      </c>
      <c r="CC78" s="7" t="str" cm="1">
        <f t="array" ref="CC78">IF(AND(ISBLANK(BL78:CB78)),"","x")</f>
        <v/>
      </c>
    </row>
    <row r="79" spans="1:121">
      <c r="A79" t="s">
        <v>119</v>
      </c>
      <c r="B79" t="s">
        <v>307</v>
      </c>
      <c r="C79" t="s">
        <v>308</v>
      </c>
      <c r="D79" s="22" t="s">
        <v>309</v>
      </c>
      <c r="F79" s="20" t="s">
        <v>11</v>
      </c>
      <c r="J79" s="20" t="s">
        <v>12</v>
      </c>
      <c r="K79">
        <v>2025</v>
      </c>
      <c r="L79">
        <v>2025</v>
      </c>
      <c r="M79" s="10" t="s">
        <v>310</v>
      </c>
      <c r="N79" s="10" t="s">
        <v>311</v>
      </c>
      <c r="O79"/>
      <c r="P79" s="10" t="s">
        <v>313</v>
      </c>
      <c r="Q79" s="10" t="s">
        <v>312</v>
      </c>
      <c r="Z79" s="4" t="s">
        <v>305</v>
      </c>
      <c r="AA79" s="7" t="str" cm="1">
        <f t="array" ref="AA79">IF(AND(ISBLANK(S79:Z79)),"","x")</f>
        <v>x</v>
      </c>
      <c r="AT79" s="7" t="str" cm="1">
        <f t="array" ref="AT79">IF(AND(ISBLANK(AB79:AS79)),"","x")</f>
        <v/>
      </c>
      <c r="BE79" s="7" t="str" cm="1">
        <f t="array" ref="BE79">IF(AND(ISBLANK(AY79:BD79)),"","x")</f>
        <v/>
      </c>
      <c r="CC79" s="7" t="str" cm="1">
        <f t="array" ref="CC79">IF(AND(ISBLANK(BL79:CB79)),"","x")</f>
        <v/>
      </c>
    </row>
    <row r="80" spans="1:121">
      <c r="A80" t="s">
        <v>119</v>
      </c>
      <c r="B80" t="s">
        <v>307</v>
      </c>
      <c r="C80" t="s">
        <v>308</v>
      </c>
      <c r="D80" s="22" t="s">
        <v>996</v>
      </c>
      <c r="K80">
        <v>2021</v>
      </c>
      <c r="L80">
        <v>2025</v>
      </c>
      <c r="M80" s="10" t="s">
        <v>997</v>
      </c>
      <c r="N80" s="10"/>
      <c r="O80"/>
      <c r="P80" s="10" t="s">
        <v>998</v>
      </c>
      <c r="Q80" s="10" t="s">
        <v>999</v>
      </c>
      <c r="BA80" t="s">
        <v>305</v>
      </c>
      <c r="BB80" t="s">
        <v>305</v>
      </c>
      <c r="BD80" s="4" t="s">
        <v>305</v>
      </c>
      <c r="BE80" s="7" t="str" cm="1">
        <f t="array" ref="BE80">IF(AND(ISBLANK(AY80:BD80)),"","x")</f>
        <v>x</v>
      </c>
    </row>
    <row r="81" spans="1:121">
      <c r="A81" t="s">
        <v>119</v>
      </c>
      <c r="B81" t="s">
        <v>307</v>
      </c>
      <c r="C81" t="s">
        <v>308</v>
      </c>
      <c r="D81" t="s">
        <v>797</v>
      </c>
      <c r="E81" s="23" t="s">
        <v>508</v>
      </c>
      <c r="K81">
        <v>2011</v>
      </c>
      <c r="L81">
        <v>2025</v>
      </c>
      <c r="M81" s="10" t="s">
        <v>509</v>
      </c>
      <c r="N81" s="10" t="s">
        <v>798</v>
      </c>
      <c r="O81" s="10" t="s">
        <v>799</v>
      </c>
      <c r="P81" s="10"/>
      <c r="Q81" s="10" t="s">
        <v>509</v>
      </c>
      <c r="R81" s="4" t="s">
        <v>841</v>
      </c>
      <c r="AA81" s="7" t="str" cm="1">
        <f t="array" ref="AA81">IF(AND(ISBLANK(S81:Z81)),"","x")</f>
        <v/>
      </c>
      <c r="AG81" t="s">
        <v>769</v>
      </c>
      <c r="AH81" t="s">
        <v>305</v>
      </c>
      <c r="AI81" t="s">
        <v>305</v>
      </c>
      <c r="AJ81" t="s">
        <v>305</v>
      </c>
      <c r="AP81" t="s">
        <v>305</v>
      </c>
      <c r="AQ81" t="s">
        <v>305</v>
      </c>
      <c r="AR81" t="s">
        <v>305</v>
      </c>
      <c r="AS81" s="4" t="s">
        <v>305</v>
      </c>
      <c r="AT81" s="7" t="str" cm="1">
        <f t="array" ref="AT81">IF(AND(ISBLANK(AB81:AS81)),"","x")</f>
        <v>x</v>
      </c>
      <c r="BE81" s="7" t="str" cm="1">
        <f t="array" ref="BE81">IF(AND(ISBLANK(AY81:BD81)),"","x")</f>
        <v/>
      </c>
      <c r="CC81" s="7" t="str" cm="1">
        <f t="array" ref="CC81">IF(AND(ISBLANK(BL81:CB81)),"","x")</f>
        <v/>
      </c>
    </row>
    <row r="82" spans="1:121">
      <c r="A82" t="s">
        <v>119</v>
      </c>
      <c r="B82" t="s">
        <v>497</v>
      </c>
      <c r="C82" t="s">
        <v>498</v>
      </c>
      <c r="D82" s="23" t="s">
        <v>774</v>
      </c>
      <c r="E82" s="23" t="s">
        <v>499</v>
      </c>
      <c r="K82">
        <v>2007</v>
      </c>
      <c r="L82">
        <v>2012</v>
      </c>
      <c r="M82" s="10" t="s">
        <v>500</v>
      </c>
      <c r="N82" s="10"/>
      <c r="O82"/>
      <c r="P82" s="10"/>
      <c r="Q82" s="10"/>
      <c r="AA82" s="7" t="str" cm="1">
        <f t="array" ref="AA82">IF(AND(ISBLANK(S82:Z82)),"","x")</f>
        <v/>
      </c>
      <c r="AB82" s="20" t="s">
        <v>769</v>
      </c>
      <c r="AC82" t="s">
        <v>305</v>
      </c>
      <c r="AD82" t="s">
        <v>305</v>
      </c>
      <c r="AE82" t="s">
        <v>305</v>
      </c>
      <c r="AF82" t="s">
        <v>932</v>
      </c>
      <c r="AT82" s="7" t="str" cm="1">
        <f t="array" ref="AT82">IF(AND(ISBLANK(AB82:AS82)),"","x")</f>
        <v>x</v>
      </c>
      <c r="BE82" s="7" t="str" cm="1">
        <f t="array" ref="BE82">IF(AND(ISBLANK(AY82:BD82)),"","x")</f>
        <v/>
      </c>
      <c r="CC82" s="7" t="str" cm="1">
        <f t="array" ref="CC82">IF(AND(ISBLANK(BL82:CB82)),"","x")</f>
        <v/>
      </c>
    </row>
    <row r="83" spans="1:121">
      <c r="A83" t="s">
        <v>119</v>
      </c>
      <c r="B83" t="s">
        <v>497</v>
      </c>
      <c r="C83" t="s">
        <v>498</v>
      </c>
      <c r="D83" s="23" t="s">
        <v>775</v>
      </c>
      <c r="E83" s="16" t="s">
        <v>501</v>
      </c>
      <c r="K83">
        <v>2009</v>
      </c>
      <c r="L83">
        <v>2013</v>
      </c>
      <c r="M83" s="10" t="s">
        <v>502</v>
      </c>
      <c r="N83" s="10"/>
      <c r="O83"/>
      <c r="P83" s="10"/>
      <c r="Q83" s="10"/>
      <c r="AA83" s="7" t="str" cm="1">
        <f t="array" ref="AA83">IF(AND(ISBLANK(S83:Z83)),"","x")</f>
        <v/>
      </c>
      <c r="AC83" t="s">
        <v>769</v>
      </c>
      <c r="AD83" t="s">
        <v>305</v>
      </c>
      <c r="AE83" t="s">
        <v>305</v>
      </c>
      <c r="AF83" t="s">
        <v>305</v>
      </c>
      <c r="AG83" t="s">
        <v>932</v>
      </c>
      <c r="AT83" s="7" t="str" cm="1">
        <f t="array" ref="AT83">IF(AND(ISBLANK(AB83:AS83)),"","x")</f>
        <v>x</v>
      </c>
      <c r="BE83" s="7" t="str" cm="1">
        <f t="array" ref="BE83">IF(AND(ISBLANK(AY83:BD83)),"","x")</f>
        <v/>
      </c>
      <c r="CC83" s="7" t="str" cm="1">
        <f t="array" ref="CC83">IF(AND(ISBLANK(BL83:CB83)),"","x")</f>
        <v/>
      </c>
    </row>
    <row r="84" spans="1:121">
      <c r="A84" t="s">
        <v>119</v>
      </c>
      <c r="B84" t="s">
        <v>497</v>
      </c>
      <c r="C84" t="s">
        <v>498</v>
      </c>
      <c r="D84" s="23" t="s">
        <v>870</v>
      </c>
      <c r="E84" s="16" t="s">
        <v>871</v>
      </c>
      <c r="K84">
        <v>2020</v>
      </c>
      <c r="L84">
        <v>2025</v>
      </c>
      <c r="M84" s="10" t="s">
        <v>872</v>
      </c>
      <c r="N84" s="10"/>
      <c r="O84" s="10" t="s">
        <v>875</v>
      </c>
      <c r="P84" s="10" t="s">
        <v>874</v>
      </c>
      <c r="Q84" s="10" t="s">
        <v>873</v>
      </c>
      <c r="R84" s="4" t="s">
        <v>876</v>
      </c>
      <c r="AP84" t="s">
        <v>769</v>
      </c>
      <c r="AQ84" t="s">
        <v>305</v>
      </c>
      <c r="AR84" t="s">
        <v>305</v>
      </c>
      <c r="AS84" s="4" t="s">
        <v>305</v>
      </c>
      <c r="AT84" s="7" t="str" cm="1">
        <f t="array" ref="AT84">IF(AND(ISBLANK(AB84:AS84)),"","x")</f>
        <v>x</v>
      </c>
      <c r="BE84" s="7" t="str" cm="1">
        <f t="array" ref="BE84">IF(AND(ISBLANK(AY84:BD84)),"","x")</f>
        <v/>
      </c>
    </row>
    <row r="85" spans="1:121">
      <c r="A85" t="s">
        <v>306</v>
      </c>
      <c r="B85" t="s">
        <v>1060</v>
      </c>
      <c r="C85" t="s">
        <v>970</v>
      </c>
      <c r="D85" t="s">
        <v>969</v>
      </c>
      <c r="K85">
        <v>2019</v>
      </c>
      <c r="L85">
        <v>2020</v>
      </c>
      <c r="M85" s="10"/>
      <c r="N85" s="10"/>
      <c r="O85" s="10" t="s">
        <v>971</v>
      </c>
      <c r="P85" s="10"/>
      <c r="Q85" s="10"/>
      <c r="AY85" t="s">
        <v>305</v>
      </c>
      <c r="BE85" s="7" t="str" cm="1">
        <f t="array" ref="BE85">IF(AND(ISBLANK(AY85:BD85)),"","x")</f>
        <v>x</v>
      </c>
    </row>
    <row r="86" spans="1:121">
      <c r="A86" t="s">
        <v>306</v>
      </c>
      <c r="B86" t="s">
        <v>803</v>
      </c>
      <c r="C86" t="s">
        <v>804</v>
      </c>
      <c r="D86" s="23" t="s">
        <v>811</v>
      </c>
      <c r="E86" s="16" t="s">
        <v>805</v>
      </c>
      <c r="K86">
        <v>2011</v>
      </c>
      <c r="L86">
        <v>2025</v>
      </c>
      <c r="M86" s="10" t="s">
        <v>806</v>
      </c>
      <c r="N86" s="10" t="s">
        <v>807</v>
      </c>
      <c r="O86" s="10" t="s">
        <v>808</v>
      </c>
      <c r="P86" s="10" t="s">
        <v>809</v>
      </c>
      <c r="Q86" s="10" t="s">
        <v>810</v>
      </c>
      <c r="AK86" t="s">
        <v>769</v>
      </c>
      <c r="AL86" t="s">
        <v>305</v>
      </c>
      <c r="AM86" t="s">
        <v>305</v>
      </c>
      <c r="AN86" t="s">
        <v>305</v>
      </c>
      <c r="AO86" t="s">
        <v>305</v>
      </c>
      <c r="AP86" t="s">
        <v>305</v>
      </c>
      <c r="AQ86" t="s">
        <v>305</v>
      </c>
      <c r="AR86" t="s">
        <v>932</v>
      </c>
      <c r="AT86" s="7" t="str" cm="1">
        <f t="array" ref="AT86">IF(AND(ISBLANK(AB86:AS86)),"","x")</f>
        <v>x</v>
      </c>
      <c r="BE86" s="7" t="str" cm="1">
        <f t="array" ref="BE86">IF(AND(ISBLANK(AY86:BD86)),"","x")</f>
        <v/>
      </c>
    </row>
    <row r="87" spans="1:121">
      <c r="A87" t="s">
        <v>306</v>
      </c>
      <c r="B87" t="s">
        <v>803</v>
      </c>
      <c r="C87" t="s">
        <v>804</v>
      </c>
      <c r="D87" s="23" t="s">
        <v>962</v>
      </c>
      <c r="E87" s="16"/>
      <c r="K87">
        <v>2017</v>
      </c>
      <c r="L87">
        <v>2025</v>
      </c>
      <c r="M87" s="10" t="s">
        <v>963</v>
      </c>
      <c r="N87" s="10"/>
      <c r="O87" s="10"/>
      <c r="P87" s="10" t="s">
        <v>965</v>
      </c>
      <c r="Q87" s="10" t="s">
        <v>964</v>
      </c>
      <c r="AY87" t="s">
        <v>305</v>
      </c>
      <c r="AZ87" t="s">
        <v>305</v>
      </c>
      <c r="BA87" t="s">
        <v>305</v>
      </c>
      <c r="BB87" t="s">
        <v>305</v>
      </c>
      <c r="BC87" t="s">
        <v>305</v>
      </c>
      <c r="BD87" s="4" t="s">
        <v>305</v>
      </c>
      <c r="BE87" s="7" t="str" cm="1">
        <f t="array" ref="BE87">IF(AND(ISBLANK(AY87:BD87)),"","x")</f>
        <v>x</v>
      </c>
    </row>
    <row r="88" spans="1:121">
      <c r="A88" t="s">
        <v>306</v>
      </c>
      <c r="B88" t="s">
        <v>115</v>
      </c>
      <c r="C88" t="s">
        <v>116</v>
      </c>
      <c r="D88" s="23" t="s">
        <v>1044</v>
      </c>
      <c r="E88" s="16"/>
      <c r="K88">
        <v>2022</v>
      </c>
      <c r="L88">
        <v>2025</v>
      </c>
      <c r="M88" s="10" t="s">
        <v>1045</v>
      </c>
      <c r="N88" s="10"/>
      <c r="O88" s="10"/>
      <c r="P88" s="10"/>
      <c r="Q88" s="10"/>
      <c r="BC88" t="s">
        <v>305</v>
      </c>
      <c r="BD88" t="s">
        <v>305</v>
      </c>
      <c r="BE88" s="7" t="str" cm="1">
        <f t="array" ref="BE88">IF(AND(ISBLANK(AY88:BD88)),"","x")</f>
        <v>x</v>
      </c>
    </row>
    <row r="89" spans="1:121">
      <c r="A89" t="s">
        <v>306</v>
      </c>
      <c r="B89" t="s">
        <v>115</v>
      </c>
      <c r="C89" t="s">
        <v>116</v>
      </c>
      <c r="D89" s="23" t="s">
        <v>1052</v>
      </c>
      <c r="E89" s="16"/>
      <c r="K89">
        <v>2023</v>
      </c>
      <c r="L89">
        <v>2025</v>
      </c>
      <c r="M89" s="10" t="s">
        <v>1053</v>
      </c>
      <c r="N89" s="10"/>
      <c r="O89" s="10"/>
      <c r="P89" s="10"/>
      <c r="Q89" s="10"/>
      <c r="BD89" t="s">
        <v>305</v>
      </c>
      <c r="BE89" s="7" t="str" cm="1">
        <f t="array" ref="BE89">IF(AND(ISBLANK(AY89:BD89)),"","x")</f>
        <v>x</v>
      </c>
    </row>
    <row r="90" spans="1:121">
      <c r="A90" t="s">
        <v>306</v>
      </c>
      <c r="B90" t="s">
        <v>115</v>
      </c>
      <c r="C90" t="s">
        <v>116</v>
      </c>
      <c r="D90" s="22" t="s">
        <v>578</v>
      </c>
      <c r="E90" s="22" t="s">
        <v>552</v>
      </c>
      <c r="F90" s="20" t="s">
        <v>111</v>
      </c>
      <c r="J90" s="20" t="s">
        <v>15</v>
      </c>
      <c r="L90">
        <v>2016</v>
      </c>
      <c r="M90"/>
      <c r="N90"/>
      <c r="O90" s="10" t="s">
        <v>639</v>
      </c>
      <c r="P90"/>
      <c r="Q90"/>
      <c r="AA90" s="7" t="str" cm="1">
        <f t="array" ref="AA90">IF(AND(ISBLANK(S90:Z90)),"","x")</f>
        <v/>
      </c>
      <c r="AT90" s="7" t="str" cm="1">
        <f t="array" ref="AT90">IF(AND(ISBLANK(AB90:AS90)),"","x")</f>
        <v/>
      </c>
      <c r="BE90" s="7" t="str" cm="1">
        <f t="array" ref="BE90">IF(AND(ISBLANK(AY90:BD90)),"","x")</f>
        <v/>
      </c>
      <c r="BT90" t="s">
        <v>305</v>
      </c>
      <c r="CC90" s="7" t="str" cm="1">
        <f t="array" ref="CC90">IF(AND(ISBLANK(BL90:CB90)),"","x")</f>
        <v>x</v>
      </c>
      <c r="DO90"/>
      <c r="DP90"/>
      <c r="DQ90"/>
    </row>
    <row r="91" spans="1:121">
      <c r="A91" t="s">
        <v>306</v>
      </c>
      <c r="B91" t="s">
        <v>115</v>
      </c>
      <c r="C91" t="s">
        <v>116</v>
      </c>
      <c r="D91" s="22" t="s">
        <v>578</v>
      </c>
      <c r="E91" s="22" t="s">
        <v>117</v>
      </c>
      <c r="F91" s="20" t="s">
        <v>111</v>
      </c>
      <c r="J91" s="20" t="s">
        <v>15</v>
      </c>
      <c r="K91">
        <v>2018</v>
      </c>
      <c r="L91">
        <v>2019</v>
      </c>
      <c r="M91" t="s">
        <v>578</v>
      </c>
      <c r="N91" t="s">
        <v>578</v>
      </c>
      <c r="O91" t="s">
        <v>578</v>
      </c>
      <c r="P91" t="s">
        <v>578</v>
      </c>
      <c r="Q91" t="s">
        <v>578</v>
      </c>
      <c r="AA91" s="7" t="str" cm="1">
        <f t="array" ref="AA91">IF(AND(ISBLANK(S91:Z91)),"","x")</f>
        <v/>
      </c>
      <c r="AT91" s="7" t="str" cm="1">
        <f t="array" ref="AT91">IF(AND(ISBLANK(AB91:AS91)),"","x")</f>
        <v/>
      </c>
      <c r="BE91" s="7" t="str" cm="1">
        <f t="array" ref="BE91">IF(AND(ISBLANK(AY91:BD91)),"","x")</f>
        <v/>
      </c>
      <c r="BW91" t="s">
        <v>305</v>
      </c>
      <c r="CC91" s="7" t="str" cm="1">
        <f t="array" ref="CC91">IF(AND(ISBLANK(BL91:CB91)),"","x")</f>
        <v>x</v>
      </c>
      <c r="DO91"/>
      <c r="DP91"/>
      <c r="DQ91"/>
    </row>
    <row r="92" spans="1:121">
      <c r="A92" t="s">
        <v>306</v>
      </c>
      <c r="B92" t="s">
        <v>115</v>
      </c>
      <c r="C92" t="s">
        <v>116</v>
      </c>
      <c r="D92" s="22" t="s">
        <v>578</v>
      </c>
      <c r="E92" s="22" t="s">
        <v>528</v>
      </c>
      <c r="F92" s="20" t="s">
        <v>14</v>
      </c>
      <c r="J92" s="20" t="s">
        <v>44</v>
      </c>
      <c r="K92">
        <v>2020</v>
      </c>
      <c r="L92">
        <v>2021</v>
      </c>
      <c r="M92" s="10" t="s">
        <v>720</v>
      </c>
      <c r="N92"/>
      <c r="O92"/>
      <c r="P92"/>
      <c r="Q92"/>
      <c r="AA92" s="7" t="str" cm="1">
        <f t="array" ref="AA92">IF(AND(ISBLANK(S92:Z92)),"","x")</f>
        <v/>
      </c>
      <c r="AT92" s="7" t="str" cm="1">
        <f t="array" ref="AT92">IF(AND(ISBLANK(AB92:AS92)),"","x")</f>
        <v/>
      </c>
      <c r="BE92" s="7" t="str" cm="1">
        <f t="array" ref="BE92">IF(AND(ISBLANK(AY92:BD92)),"","x")</f>
        <v/>
      </c>
      <c r="BX92" t="s">
        <v>305</v>
      </c>
      <c r="CC92" s="7" t="str" cm="1">
        <f t="array" ref="CC92">IF(AND(ISBLANK(BL92:CB92)),"","x")</f>
        <v>x</v>
      </c>
      <c r="DO92"/>
      <c r="DP92"/>
      <c r="DQ92"/>
    </row>
    <row r="93" spans="1:121">
      <c r="A93" t="s">
        <v>306</v>
      </c>
      <c r="B93" t="s">
        <v>115</v>
      </c>
      <c r="C93" t="s">
        <v>116</v>
      </c>
      <c r="D93" s="22" t="s">
        <v>578</v>
      </c>
      <c r="E93" s="23" t="s">
        <v>525</v>
      </c>
      <c r="K93">
        <v>2022</v>
      </c>
      <c r="L93">
        <v>2023</v>
      </c>
      <c r="M93"/>
      <c r="N93"/>
      <c r="O93"/>
      <c r="P93" s="10" t="s">
        <v>730</v>
      </c>
      <c r="Q93"/>
      <c r="AA93" s="7" t="str" cm="1">
        <f t="array" ref="AA93">IF(AND(ISBLANK(S93:Z93)),"","x")</f>
        <v/>
      </c>
      <c r="AT93" s="7" t="str" cm="1">
        <f t="array" ref="AT93">IF(AND(ISBLANK(AB93:AS93)),"","x")</f>
        <v/>
      </c>
      <c r="BE93" s="7" t="str" cm="1">
        <f t="array" ref="BE93">IF(AND(ISBLANK(AY93:BD93)),"","x")</f>
        <v/>
      </c>
      <c r="BZ93" t="s">
        <v>305</v>
      </c>
      <c r="CC93" s="7" t="str" cm="1">
        <f t="array" ref="CC93">IF(AND(ISBLANK(BL93:CB93)),"","x")</f>
        <v>x</v>
      </c>
      <c r="DO93"/>
      <c r="DP93"/>
      <c r="DQ93"/>
    </row>
    <row r="94" spans="1:121">
      <c r="A94" t="s">
        <v>306</v>
      </c>
      <c r="B94" t="s">
        <v>115</v>
      </c>
      <c r="C94" t="s">
        <v>116</v>
      </c>
      <c r="D94" s="22" t="s">
        <v>578</v>
      </c>
      <c r="E94" s="22" t="s">
        <v>118</v>
      </c>
      <c r="F94" s="20" t="s">
        <v>14</v>
      </c>
      <c r="J94" s="20" t="s">
        <v>44</v>
      </c>
      <c r="K94">
        <v>2023</v>
      </c>
      <c r="L94">
        <v>2024</v>
      </c>
      <c r="M94"/>
      <c r="N94"/>
      <c r="O94"/>
      <c r="P94" s="10" t="s">
        <v>738</v>
      </c>
      <c r="Q94"/>
      <c r="AA94" s="7" t="str" cm="1">
        <f t="array" ref="AA94">IF(AND(ISBLANK(S94:Z94)),"","x")</f>
        <v/>
      </c>
      <c r="AT94" s="7" t="str" cm="1">
        <f t="array" ref="AT94">IF(AND(ISBLANK(AB94:AS94)),"","x")</f>
        <v/>
      </c>
      <c r="BE94" s="7" t="str" cm="1">
        <f t="array" ref="BE94">IF(AND(ISBLANK(AY94:BD94)),"","x")</f>
        <v/>
      </c>
      <c r="CA94" t="s">
        <v>305</v>
      </c>
      <c r="CC94" s="7" t="str" cm="1">
        <f t="array" ref="CC94">IF(AND(ISBLANK(BL94:CB94)),"","x")</f>
        <v>x</v>
      </c>
      <c r="DO94"/>
      <c r="DP94"/>
      <c r="DQ94"/>
    </row>
    <row r="95" spans="1:121">
      <c r="A95" t="s">
        <v>306</v>
      </c>
      <c r="B95" t="s">
        <v>115</v>
      </c>
      <c r="C95" t="s">
        <v>116</v>
      </c>
      <c r="D95" s="22" t="s">
        <v>578</v>
      </c>
      <c r="E95" s="22" t="s">
        <v>966</v>
      </c>
      <c r="K95">
        <v>2020</v>
      </c>
      <c r="L95">
        <v>2020</v>
      </c>
      <c r="M95"/>
      <c r="N95"/>
      <c r="O95" s="10" t="s">
        <v>967</v>
      </c>
      <c r="P95" s="10"/>
      <c r="Q95"/>
      <c r="R95" s="18" t="s">
        <v>968</v>
      </c>
      <c r="AY95" t="s">
        <v>305</v>
      </c>
      <c r="BE95" s="7" t="str" cm="1">
        <f t="array" ref="BE95">IF(AND(ISBLANK(AY95:BD95)),"","x")</f>
        <v>x</v>
      </c>
      <c r="DO95"/>
      <c r="DP95"/>
      <c r="DQ95"/>
    </row>
    <row r="96" spans="1:121">
      <c r="A96" t="s">
        <v>136</v>
      </c>
      <c r="B96" t="s">
        <v>120</v>
      </c>
      <c r="C96" t="s">
        <v>121</v>
      </c>
      <c r="D96" s="22" t="s">
        <v>477</v>
      </c>
      <c r="F96" s="20" t="s">
        <v>11</v>
      </c>
      <c r="J96" s="20" t="s">
        <v>12</v>
      </c>
      <c r="K96">
        <v>2018</v>
      </c>
      <c r="L96">
        <v>2022</v>
      </c>
      <c r="M96"/>
      <c r="N96"/>
      <c r="O96"/>
      <c r="P96" s="10" t="s">
        <v>894</v>
      </c>
      <c r="Q96" s="10" t="s">
        <v>895</v>
      </c>
      <c r="S96" t="s">
        <v>305</v>
      </c>
      <c r="U96" t="s">
        <v>305</v>
      </c>
      <c r="V96" t="s">
        <v>305</v>
      </c>
      <c r="W96" t="s">
        <v>305</v>
      </c>
      <c r="AA96" s="7" t="str" cm="1">
        <f t="array" ref="AA96">IF(AND(ISBLANK(S96:Z96)),"","x")</f>
        <v>x</v>
      </c>
      <c r="AT96" s="7" t="str" cm="1">
        <f t="array" ref="AT96">IF(AND(ISBLANK(AB96:AS96)),"","x")</f>
        <v/>
      </c>
      <c r="BE96" s="7" t="str" cm="1">
        <f t="array" ref="BE96">IF(AND(ISBLANK(AY96:BD96)),"","x")</f>
        <v/>
      </c>
      <c r="CC96" s="7" t="str" cm="1">
        <f t="array" ref="CC96">IF(AND(ISBLANK(BL96:CB96)),"","x")</f>
        <v/>
      </c>
      <c r="DO96"/>
      <c r="DP96"/>
      <c r="DQ96"/>
    </row>
    <row r="97" spans="1:121">
      <c r="A97" t="s">
        <v>136</v>
      </c>
      <c r="B97" t="s">
        <v>120</v>
      </c>
      <c r="C97" t="s">
        <v>121</v>
      </c>
      <c r="D97" s="22" t="s">
        <v>1051</v>
      </c>
      <c r="K97">
        <v>2023</v>
      </c>
      <c r="L97">
        <v>2025</v>
      </c>
      <c r="M97" s="10" t="s">
        <v>1050</v>
      </c>
      <c r="N97"/>
      <c r="O97"/>
      <c r="P97" s="10"/>
      <c r="Q97" s="10"/>
      <c r="BD97" s="4" t="s">
        <v>305</v>
      </c>
      <c r="BE97" s="7" t="str" cm="1">
        <f t="array" ref="BE97">IF(AND(ISBLANK(AY97:BD97)),"","x")</f>
        <v>x</v>
      </c>
      <c r="DO97"/>
      <c r="DP97"/>
      <c r="DQ97"/>
    </row>
    <row r="98" spans="1:121">
      <c r="A98" t="s">
        <v>136</v>
      </c>
      <c r="B98" t="s">
        <v>122</v>
      </c>
      <c r="C98" t="s">
        <v>757</v>
      </c>
      <c r="D98" s="22" t="s">
        <v>868</v>
      </c>
      <c r="E98" s="22" t="s">
        <v>869</v>
      </c>
      <c r="F98" s="20" t="s">
        <v>11</v>
      </c>
      <c r="J98" s="20" t="s">
        <v>12</v>
      </c>
      <c r="K98">
        <v>2020</v>
      </c>
      <c r="L98">
        <v>2025</v>
      </c>
      <c r="M98" s="10" t="s">
        <v>420</v>
      </c>
      <c r="N98"/>
      <c r="O98"/>
      <c r="P98" s="10" t="s">
        <v>422</v>
      </c>
      <c r="Q98" s="10" t="s">
        <v>421</v>
      </c>
      <c r="Z98" s="4" t="s">
        <v>305</v>
      </c>
      <c r="AA98" s="7" t="str" cm="1">
        <f t="array" ref="AA98">IF(AND(ISBLANK(S98:Z98)),"","x")</f>
        <v>x</v>
      </c>
      <c r="AP98" t="s">
        <v>769</v>
      </c>
      <c r="AQ98" t="s">
        <v>305</v>
      </c>
      <c r="AR98" t="s">
        <v>305</v>
      </c>
      <c r="AS98" s="4" t="s">
        <v>305</v>
      </c>
      <c r="AT98" s="7" t="str" cm="1">
        <f t="array" ref="AT98">IF(AND(ISBLANK(AB98:AS98)),"","x")</f>
        <v>x</v>
      </c>
      <c r="BE98" s="7" t="str" cm="1">
        <f t="array" ref="BE98">IF(AND(ISBLANK(AY98:BD98)),"","x")</f>
        <v/>
      </c>
      <c r="CC98" s="7" t="str" cm="1">
        <f t="array" ref="CC98">IF(AND(ISBLANK(BL98:CB98)),"","x")</f>
        <v/>
      </c>
    </row>
    <row r="99" spans="1:121">
      <c r="A99" t="s">
        <v>136</v>
      </c>
      <c r="B99" t="s">
        <v>122</v>
      </c>
      <c r="C99" t="s">
        <v>757</v>
      </c>
      <c r="D99" s="22" t="s">
        <v>989</v>
      </c>
      <c r="E99" s="22"/>
      <c r="K99">
        <v>2012</v>
      </c>
      <c r="L99">
        <v>2025</v>
      </c>
      <c r="M99" s="10" t="s">
        <v>988</v>
      </c>
      <c r="N99"/>
      <c r="O99"/>
      <c r="P99" s="10"/>
      <c r="Q99" s="10"/>
      <c r="AZ99" t="s">
        <v>305</v>
      </c>
      <c r="BA99" t="s">
        <v>305</v>
      </c>
      <c r="BC99" t="s">
        <v>305</v>
      </c>
      <c r="BD99" s="4" t="s">
        <v>305</v>
      </c>
      <c r="BE99" s="7" t="str" cm="1">
        <f t="array" ref="BE99">IF(AND(ISBLANK(AY99:BD99)),"","x")</f>
        <v>x</v>
      </c>
    </row>
    <row r="100" spans="1:121">
      <c r="A100" t="s">
        <v>136</v>
      </c>
      <c r="B100" t="s">
        <v>123</v>
      </c>
      <c r="C100" t="s">
        <v>124</v>
      </c>
      <c r="D100" s="22" t="s">
        <v>125</v>
      </c>
      <c r="F100" s="20" t="s">
        <v>11</v>
      </c>
      <c r="J100" s="20" t="s">
        <v>12</v>
      </c>
      <c r="K100">
        <v>2019</v>
      </c>
      <c r="L100">
        <v>2025</v>
      </c>
      <c r="M100" s="10" t="s">
        <v>335</v>
      </c>
      <c r="N100"/>
      <c r="O100"/>
      <c r="P100" s="10" t="s">
        <v>337</v>
      </c>
      <c r="Q100" s="10" t="s">
        <v>336</v>
      </c>
      <c r="V100" t="s">
        <v>305</v>
      </c>
      <c r="W100" t="s">
        <v>305</v>
      </c>
      <c r="X100" t="s">
        <v>305</v>
      </c>
      <c r="Y100" t="s">
        <v>305</v>
      </c>
      <c r="Z100" s="4" t="s">
        <v>305</v>
      </c>
      <c r="AA100" s="7" t="str" cm="1">
        <f t="array" ref="AA100">IF(AND(ISBLANK(S100:Z100)),"","x")</f>
        <v>x</v>
      </c>
      <c r="AT100" s="7" t="str" cm="1">
        <f t="array" ref="AT100">IF(AND(ISBLANK(AB100:AS100)),"","x")</f>
        <v/>
      </c>
      <c r="BE100" s="7" t="str" cm="1">
        <f t="array" ref="BE100">IF(AND(ISBLANK(AY100:BD100)),"","x")</f>
        <v/>
      </c>
      <c r="CC100" s="7" t="str" cm="1">
        <f t="array" ref="CC100">IF(AND(ISBLANK(BL100:CB100)),"","x")</f>
        <v/>
      </c>
    </row>
    <row r="101" spans="1:121" ht="28.8">
      <c r="A101" t="s">
        <v>136</v>
      </c>
      <c r="B101" t="s">
        <v>126</v>
      </c>
      <c r="C101" s="2" t="s">
        <v>127</v>
      </c>
      <c r="D101" s="22" t="s">
        <v>128</v>
      </c>
      <c r="E101" s="22" t="s">
        <v>897</v>
      </c>
      <c r="F101" s="20" t="s">
        <v>11</v>
      </c>
      <c r="J101" s="20" t="s">
        <v>12</v>
      </c>
      <c r="K101">
        <v>2015</v>
      </c>
      <c r="L101">
        <v>2025</v>
      </c>
      <c r="M101" s="10" t="s">
        <v>896</v>
      </c>
      <c r="N101"/>
      <c r="O101" s="10" t="s">
        <v>898</v>
      </c>
      <c r="P101" s="10" t="s">
        <v>460</v>
      </c>
      <c r="Q101"/>
      <c r="Y101" t="s">
        <v>305</v>
      </c>
      <c r="AA101" s="7" t="str" cm="1">
        <f t="array" ref="AA101">IF(AND(ISBLANK(S101:Z101)),"","x")</f>
        <v>x</v>
      </c>
      <c r="AT101" s="7" t="str" cm="1">
        <f t="array" ref="AT101">IF(AND(ISBLANK(AB101:AS101)),"","x")</f>
        <v/>
      </c>
      <c r="BE101" s="7" t="str" cm="1">
        <f t="array" ref="BE101">IF(AND(ISBLANK(AY101:BD101)),"","x")</f>
        <v/>
      </c>
      <c r="CC101" s="7" t="str" cm="1">
        <f t="array" ref="CC101">IF(AND(ISBLANK(BL101:CB101)),"","x")</f>
        <v/>
      </c>
      <c r="DO101"/>
      <c r="DP101"/>
      <c r="DQ101"/>
    </row>
    <row r="102" spans="1:121" ht="13.2" customHeight="1">
      <c r="A102" t="s">
        <v>136</v>
      </c>
      <c r="B102" t="s">
        <v>126</v>
      </c>
      <c r="C102" s="2" t="s">
        <v>127</v>
      </c>
      <c r="D102" s="22" t="s">
        <v>578</v>
      </c>
      <c r="E102" s="22" t="s">
        <v>541</v>
      </c>
      <c r="F102" s="20" t="s">
        <v>63</v>
      </c>
      <c r="J102" s="20" t="s">
        <v>44</v>
      </c>
      <c r="K102">
        <v>2016</v>
      </c>
      <c r="L102">
        <v>2025</v>
      </c>
      <c r="M102"/>
      <c r="N102"/>
      <c r="O102" s="10" t="s">
        <v>654</v>
      </c>
      <c r="P102"/>
      <c r="Q102"/>
      <c r="AA102" s="7" t="str" cm="1">
        <f t="array" ref="AA102">IF(AND(ISBLANK(S102:Z102)),"","x")</f>
        <v/>
      </c>
      <c r="AT102" s="7" t="str" cm="1">
        <f t="array" ref="AT102">IF(AND(ISBLANK(AB102:AS102)),"","x")</f>
        <v/>
      </c>
      <c r="BE102" s="7" t="str" cm="1">
        <f t="array" ref="BE102">IF(AND(ISBLANK(AY102:BD102)),"","x")</f>
        <v/>
      </c>
      <c r="BU102" t="s">
        <v>305</v>
      </c>
      <c r="BX102" t="s">
        <v>305</v>
      </c>
      <c r="CC102" s="7" t="str" cm="1">
        <f t="array" ref="CC102">IF(AND(ISBLANK(BL102:CB102)),"","x")</f>
        <v>x</v>
      </c>
      <c r="DO102"/>
      <c r="DP102"/>
      <c r="DQ102"/>
    </row>
    <row r="103" spans="1:121" ht="13.2" customHeight="1">
      <c r="A103" t="s">
        <v>136</v>
      </c>
      <c r="B103" t="s">
        <v>126</v>
      </c>
      <c r="C103" s="2" t="s">
        <v>127</v>
      </c>
      <c r="D103" s="22" t="s">
        <v>578</v>
      </c>
      <c r="E103" s="22" t="s">
        <v>856</v>
      </c>
      <c r="K103">
        <v>2019</v>
      </c>
      <c r="L103">
        <v>2025</v>
      </c>
      <c r="M103" s="10" t="s">
        <v>855</v>
      </c>
      <c r="N103"/>
      <c r="O103" s="10"/>
      <c r="P103" s="10" t="s">
        <v>858</v>
      </c>
      <c r="Q103" s="10" t="s">
        <v>859</v>
      </c>
      <c r="R103" s="18" t="s">
        <v>857</v>
      </c>
      <c r="AA103" s="7" t="str" cm="1">
        <f t="array" ref="AA103">IF(AND(ISBLANK(S103:Z103)),"","x")</f>
        <v/>
      </c>
      <c r="AS103" s="4" t="s">
        <v>769</v>
      </c>
      <c r="AT103" s="7" t="str" cm="1">
        <f t="array" ref="AT103">IF(AND(ISBLANK(AB103:AS103)),"","x")</f>
        <v>x</v>
      </c>
      <c r="BE103" s="7" t="str" cm="1">
        <f t="array" ref="BE103">IF(AND(ISBLANK(AY103:BD103)),"","x")</f>
        <v/>
      </c>
      <c r="DO103"/>
      <c r="DP103"/>
      <c r="DQ103"/>
    </row>
    <row r="104" spans="1:121" ht="14.4" customHeight="1">
      <c r="A104" t="s">
        <v>136</v>
      </c>
      <c r="B104" t="s">
        <v>126</v>
      </c>
      <c r="C104" s="2" t="s">
        <v>127</v>
      </c>
      <c r="D104" s="22" t="s">
        <v>829</v>
      </c>
      <c r="E104" t="s">
        <v>830</v>
      </c>
      <c r="F104" s="20" t="s">
        <v>35</v>
      </c>
      <c r="J104" s="20" t="s">
        <v>36</v>
      </c>
      <c r="K104">
        <v>2024</v>
      </c>
      <c r="L104">
        <v>2025</v>
      </c>
      <c r="M104" s="15"/>
      <c r="N104" s="15"/>
      <c r="O104" s="15"/>
      <c r="P104" s="36" t="s">
        <v>853</v>
      </c>
      <c r="Q104" s="36" t="s">
        <v>854</v>
      </c>
      <c r="AA104" s="7" t="str" cm="1">
        <f t="array" ref="AA104">IF(AND(ISBLANK(S104:Z104)),"","x")</f>
        <v/>
      </c>
      <c r="AR104" t="s">
        <v>769</v>
      </c>
      <c r="AS104" s="4" t="s">
        <v>305</v>
      </c>
      <c r="AT104" s="7" t="str" cm="1">
        <f t="array" ref="AT104">IF(AND(ISBLANK(AB104:AS104)),"","x")</f>
        <v>x</v>
      </c>
      <c r="BE104" s="7" t="str" cm="1">
        <f t="array" ref="BE104">IF(AND(ISBLANK(AY104:BD104)),"","x")</f>
        <v/>
      </c>
      <c r="CC104" s="7" t="str" cm="1">
        <f t="array" ref="CC104">IF(AND(ISBLANK(BL104:CB104)),"","x")</f>
        <v/>
      </c>
      <c r="DO104"/>
      <c r="DP104"/>
      <c r="DQ104"/>
    </row>
    <row r="105" spans="1:121" ht="15" customHeight="1">
      <c r="A105" t="s">
        <v>136</v>
      </c>
      <c r="B105" t="s">
        <v>570</v>
      </c>
      <c r="C105" s="2" t="s">
        <v>571</v>
      </c>
      <c r="D105" s="22" t="s">
        <v>578</v>
      </c>
      <c r="E105" s="22" t="s">
        <v>592</v>
      </c>
      <c r="K105">
        <v>2014</v>
      </c>
      <c r="L105">
        <v>2017</v>
      </c>
      <c r="O105" s="27" t="s">
        <v>607</v>
      </c>
      <c r="AA105" s="7" t="str" cm="1">
        <f t="array" ref="AA105">IF(AND(ISBLANK(S105:Z105)),"","x")</f>
        <v/>
      </c>
      <c r="AT105" s="7" t="str" cm="1">
        <f t="array" ref="AT105">IF(AND(ISBLANK(AB105:AS105)),"","x")</f>
        <v/>
      </c>
      <c r="BE105" s="7" t="str" cm="1">
        <f t="array" ref="BE105">IF(AND(ISBLANK(AY105:BD105)),"","x")</f>
        <v/>
      </c>
      <c r="BS105" t="s">
        <v>305</v>
      </c>
      <c r="BU105" t="s">
        <v>305</v>
      </c>
      <c r="CC105" s="7" t="str" cm="1">
        <f t="array" ref="CC105">IF(AND(ISBLANK(BL105:CB105)),"","x")</f>
        <v>x</v>
      </c>
      <c r="DO105"/>
      <c r="DP105"/>
      <c r="DQ105"/>
    </row>
    <row r="106" spans="1:121">
      <c r="A106" t="s">
        <v>136</v>
      </c>
      <c r="B106" t="s">
        <v>129</v>
      </c>
      <c r="C106" t="s">
        <v>130</v>
      </c>
      <c r="D106" s="22" t="s">
        <v>131</v>
      </c>
      <c r="F106" s="20" t="s">
        <v>11</v>
      </c>
      <c r="J106" s="20" t="s">
        <v>12</v>
      </c>
      <c r="K106">
        <v>2016</v>
      </c>
      <c r="L106">
        <v>2025</v>
      </c>
      <c r="M106" s="10" t="s">
        <v>366</v>
      </c>
      <c r="N106"/>
      <c r="O106"/>
      <c r="P106" s="10" t="s">
        <v>368</v>
      </c>
      <c r="Q106" s="10" t="s">
        <v>367</v>
      </c>
      <c r="W106" t="s">
        <v>305</v>
      </c>
      <c r="X106" t="s">
        <v>305</v>
      </c>
      <c r="Y106" t="s">
        <v>305</v>
      </c>
      <c r="Z106" s="4" t="s">
        <v>305</v>
      </c>
      <c r="AA106" s="7" t="str" cm="1">
        <f t="array" ref="AA106">IF(AND(ISBLANK(S106:Z106)),"","x")</f>
        <v>x</v>
      </c>
      <c r="AT106" s="7" t="str" cm="1">
        <f t="array" ref="AT106">IF(AND(ISBLANK(AB106:AS106)),"","x")</f>
        <v/>
      </c>
      <c r="BE106" s="7" t="str" cm="1">
        <f t="array" ref="BE106">IF(AND(ISBLANK(AY106:BD106)),"","x")</f>
        <v/>
      </c>
      <c r="CC106" s="7" t="str" cm="1">
        <f t="array" ref="CC106">IF(AND(ISBLANK(BL106:CB106)),"","x")</f>
        <v/>
      </c>
    </row>
    <row r="107" spans="1:121" ht="13.95" customHeight="1">
      <c r="A107" t="s">
        <v>136</v>
      </c>
      <c r="B107" t="s">
        <v>129</v>
      </c>
      <c r="C107" t="s">
        <v>130</v>
      </c>
      <c r="D107" s="23" t="s">
        <v>640</v>
      </c>
      <c r="E107" s="22" t="s">
        <v>641</v>
      </c>
      <c r="F107" s="20" t="s">
        <v>111</v>
      </c>
      <c r="J107" s="20" t="s">
        <v>44</v>
      </c>
      <c r="K107">
        <v>2015</v>
      </c>
      <c r="L107">
        <v>2025</v>
      </c>
      <c r="M107"/>
      <c r="N107"/>
      <c r="O107"/>
      <c r="P107"/>
      <c r="Q107"/>
      <c r="AA107" s="7" t="str" cm="1">
        <f t="array" ref="AA107">IF(AND(ISBLANK(S107:Z107)),"","x")</f>
        <v/>
      </c>
      <c r="AT107" s="7" t="str" cm="1">
        <f t="array" ref="AT107">IF(AND(ISBLANK(AB107:AS107)),"","x")</f>
        <v/>
      </c>
      <c r="BE107" s="7" t="str" cm="1">
        <f t="array" ref="BE107">IF(AND(ISBLANK(AY107:BD107)),"","x")</f>
        <v/>
      </c>
      <c r="BT107" t="s">
        <v>305</v>
      </c>
      <c r="BW107" t="s">
        <v>305</v>
      </c>
      <c r="BZ107" t="s">
        <v>305</v>
      </c>
      <c r="CA107" t="s">
        <v>305</v>
      </c>
      <c r="CC107" s="7" t="str" cm="1">
        <f t="array" ref="CC107">IF(AND(ISBLANK(BL107:CB107)),"","x")</f>
        <v>x</v>
      </c>
      <c r="DO107" t="s">
        <v>305</v>
      </c>
      <c r="DP107"/>
      <c r="DQ107"/>
    </row>
    <row r="108" spans="1:121" ht="15" customHeight="1">
      <c r="A108" t="s">
        <v>136</v>
      </c>
      <c r="B108" t="s">
        <v>129</v>
      </c>
      <c r="C108" t="s">
        <v>130</v>
      </c>
      <c r="D108" s="22" t="s">
        <v>642</v>
      </c>
      <c r="E108" s="23" t="s">
        <v>495</v>
      </c>
      <c r="K108">
        <v>1990</v>
      </c>
      <c r="L108">
        <v>2012</v>
      </c>
      <c r="M108" s="10" t="s">
        <v>496</v>
      </c>
      <c r="N108"/>
      <c r="O108"/>
      <c r="P108"/>
      <c r="Q108"/>
      <c r="AA108" s="7" t="str" cm="1">
        <f t="array" ref="AA108">IF(AND(ISBLANK(S108:Z108)),"","x")</f>
        <v/>
      </c>
      <c r="AB108" s="20" t="s">
        <v>769</v>
      </c>
      <c r="AC108" t="s">
        <v>305</v>
      </c>
      <c r="AD108" t="s">
        <v>305</v>
      </c>
      <c r="AE108" t="s">
        <v>305</v>
      </c>
      <c r="AF108" t="s">
        <v>932</v>
      </c>
      <c r="AT108" s="7" t="str" cm="1">
        <f t="array" ref="AT108">IF(AND(ISBLANK(AB108:AS108)),"","x")</f>
        <v>x</v>
      </c>
      <c r="BE108" s="7" t="str" cm="1">
        <f t="array" ref="BE108">IF(AND(ISBLANK(AY108:BD108)),"","x")</f>
        <v/>
      </c>
      <c r="CC108" s="7" t="str" cm="1">
        <f t="array" ref="CC108">IF(AND(ISBLANK(BL108:CB108)),"","x")</f>
        <v/>
      </c>
      <c r="DO108"/>
      <c r="DP108"/>
      <c r="DQ108"/>
    </row>
    <row r="109" spans="1:121">
      <c r="A109" t="s">
        <v>136</v>
      </c>
      <c r="B109" t="s">
        <v>129</v>
      </c>
      <c r="C109" t="s">
        <v>130</v>
      </c>
      <c r="D109" s="22" t="s">
        <v>801</v>
      </c>
      <c r="E109" s="22" t="s">
        <v>132</v>
      </c>
      <c r="F109" s="20" t="s">
        <v>35</v>
      </c>
      <c r="J109" s="20" t="s">
        <v>36</v>
      </c>
      <c r="K109">
        <v>2017</v>
      </c>
      <c r="L109">
        <v>2021</v>
      </c>
      <c r="M109" s="10" t="s">
        <v>800</v>
      </c>
      <c r="N109"/>
      <c r="O109"/>
      <c r="P109"/>
      <c r="Q109"/>
      <c r="AA109" s="7" t="str" cm="1">
        <f t="array" ref="AA109">IF(AND(ISBLANK(S109:Z109)),"","x")</f>
        <v/>
      </c>
      <c r="AK109" t="s">
        <v>769</v>
      </c>
      <c r="AL109" t="s">
        <v>305</v>
      </c>
      <c r="AM109" t="s">
        <v>305</v>
      </c>
      <c r="AN109" t="s">
        <v>305</v>
      </c>
      <c r="AO109" t="s">
        <v>932</v>
      </c>
      <c r="AT109" s="7" t="str" cm="1">
        <f t="array" ref="AT109">IF(AND(ISBLANK(AB109:AS109)),"","x")</f>
        <v>x</v>
      </c>
      <c r="BE109" s="7" t="str" cm="1">
        <f t="array" ref="BE109">IF(AND(ISBLANK(AY109:BD109)),"","x")</f>
        <v/>
      </c>
      <c r="CC109" s="7" t="str" cm="1">
        <f t="array" ref="CC109">IF(AND(ISBLANK(BL109:CB109)),"","x")</f>
        <v/>
      </c>
      <c r="DO109"/>
      <c r="DP109"/>
      <c r="DQ109"/>
    </row>
    <row r="110" spans="1:121">
      <c r="A110" t="s">
        <v>136</v>
      </c>
      <c r="B110" t="s">
        <v>129</v>
      </c>
      <c r="C110" t="s">
        <v>544</v>
      </c>
      <c r="D110" s="22" t="s">
        <v>578</v>
      </c>
      <c r="E110" s="22" t="s">
        <v>545</v>
      </c>
      <c r="K110">
        <v>2016</v>
      </c>
      <c r="L110">
        <v>2017</v>
      </c>
      <c r="M110"/>
      <c r="N110"/>
      <c r="O110" s="10" t="s">
        <v>655</v>
      </c>
      <c r="P110"/>
      <c r="Q110"/>
      <c r="AA110" s="7" t="str" cm="1">
        <f t="array" ref="AA110">IF(AND(ISBLANK(S110:Z110)),"","x")</f>
        <v/>
      </c>
      <c r="AT110" s="7" t="str" cm="1">
        <f t="array" ref="AT110">IF(AND(ISBLANK(AB110:AS110)),"","x")</f>
        <v/>
      </c>
      <c r="BE110" s="7" t="str" cm="1">
        <f t="array" ref="BE110">IF(AND(ISBLANK(AY110:BD110)),"","x")</f>
        <v/>
      </c>
      <c r="BU110" t="s">
        <v>305</v>
      </c>
      <c r="CC110" s="7" t="str" cm="1">
        <f t="array" ref="CC110">IF(AND(ISBLANK(BL110:CB110)),"","x")</f>
        <v>x</v>
      </c>
      <c r="DO110"/>
      <c r="DP110"/>
      <c r="DQ110"/>
    </row>
    <row r="111" spans="1:121">
      <c r="A111" t="s">
        <v>136</v>
      </c>
      <c r="B111" t="s">
        <v>782</v>
      </c>
      <c r="C111" t="s">
        <v>784</v>
      </c>
      <c r="D111" s="22" t="s">
        <v>786</v>
      </c>
      <c r="E111" s="22" t="s">
        <v>785</v>
      </c>
      <c r="K111">
        <v>2008</v>
      </c>
      <c r="L111">
        <v>2012</v>
      </c>
      <c r="M111" s="10" t="s">
        <v>783</v>
      </c>
      <c r="N111"/>
      <c r="O111" s="10"/>
      <c r="P111"/>
      <c r="Q111"/>
      <c r="R111" s="4" t="s">
        <v>781</v>
      </c>
      <c r="AB111" s="20" t="s">
        <v>769</v>
      </c>
      <c r="AC111" t="s">
        <v>305</v>
      </c>
      <c r="AD111" t="s">
        <v>305</v>
      </c>
      <c r="AE111" t="s">
        <v>305</v>
      </c>
      <c r="AF111" t="s">
        <v>305</v>
      </c>
      <c r="AT111" s="7" t="str" cm="1">
        <f t="array" ref="AT111">IF(AND(ISBLANK(AB111:AS111)),"","x")</f>
        <v>x</v>
      </c>
      <c r="BE111" s="7" t="str" cm="1">
        <f t="array" ref="BE111">IF(AND(ISBLANK(AY111:BD111)),"","x")</f>
        <v/>
      </c>
      <c r="DO111"/>
      <c r="DP111"/>
      <c r="DQ111"/>
    </row>
    <row r="112" spans="1:121">
      <c r="A112" t="s">
        <v>136</v>
      </c>
      <c r="B112" t="s">
        <v>133</v>
      </c>
      <c r="C112" t="s">
        <v>134</v>
      </c>
      <c r="D112" s="22" t="s">
        <v>135</v>
      </c>
      <c r="F112" s="20" t="s">
        <v>11</v>
      </c>
      <c r="J112" s="20" t="s">
        <v>12</v>
      </c>
      <c r="K112">
        <v>2008</v>
      </c>
      <c r="L112">
        <v>2025</v>
      </c>
      <c r="M112" s="10" t="s">
        <v>331</v>
      </c>
      <c r="N112" s="10" t="s">
        <v>332</v>
      </c>
      <c r="O112"/>
      <c r="P112" s="10" t="s">
        <v>334</v>
      </c>
      <c r="Q112" s="10" t="s">
        <v>333</v>
      </c>
      <c r="S112" t="s">
        <v>305</v>
      </c>
      <c r="T112" t="s">
        <v>305</v>
      </c>
      <c r="U112" t="s">
        <v>305</v>
      </c>
      <c r="V112" t="s">
        <v>305</v>
      </c>
      <c r="W112" t="s">
        <v>305</v>
      </c>
      <c r="X112" t="s">
        <v>305</v>
      </c>
      <c r="Y112" t="s">
        <v>305</v>
      </c>
      <c r="Z112" s="4" t="s">
        <v>305</v>
      </c>
      <c r="AA112" s="7" t="str" cm="1">
        <f t="array" ref="AA112">IF(AND(ISBLANK(S112:Z112)),"","x")</f>
        <v>x</v>
      </c>
      <c r="AT112" s="7" t="str" cm="1">
        <f t="array" ref="AT112">IF(AND(ISBLANK(AB112:AS112)),"","x")</f>
        <v/>
      </c>
      <c r="BE112" s="7" t="str" cm="1">
        <f t="array" ref="BE112">IF(AND(ISBLANK(AY112:BD112)),"","x")</f>
        <v/>
      </c>
      <c r="CC112" s="7" t="str" cm="1">
        <f t="array" ref="CC112">IF(AND(ISBLANK(BL112:CB112)),"","x")</f>
        <v/>
      </c>
    </row>
    <row r="113" spans="1:121">
      <c r="A113" t="s">
        <v>136</v>
      </c>
      <c r="B113" t="s">
        <v>133</v>
      </c>
      <c r="C113" t="s">
        <v>134</v>
      </c>
      <c r="D113" s="24" t="s">
        <v>771</v>
      </c>
      <c r="E113" s="15" t="s">
        <v>772</v>
      </c>
      <c r="K113">
        <v>2008</v>
      </c>
      <c r="L113">
        <v>2025</v>
      </c>
      <c r="M113" s="10" t="s">
        <v>487</v>
      </c>
      <c r="N113" s="10"/>
      <c r="O113"/>
      <c r="P113" s="10"/>
      <c r="Q113" s="10"/>
      <c r="AA113" s="7" t="str" cm="1">
        <f t="array" ref="AA113">IF(AND(ISBLANK(S113:Z113)),"","x")</f>
        <v/>
      </c>
      <c r="AB113" s="20" t="s">
        <v>769</v>
      </c>
      <c r="AC113" t="s">
        <v>305</v>
      </c>
      <c r="AD113" t="s">
        <v>305</v>
      </c>
      <c r="AE113" t="s">
        <v>305</v>
      </c>
      <c r="AF113" t="s">
        <v>932</v>
      </c>
      <c r="AG113" t="s">
        <v>769</v>
      </c>
      <c r="AH113" t="s">
        <v>305</v>
      </c>
      <c r="AI113" t="s">
        <v>305</v>
      </c>
      <c r="AJ113" t="s">
        <v>932</v>
      </c>
      <c r="AT113" s="7" t="str" cm="1">
        <f t="array" ref="AT113">IF(AND(ISBLANK(AB113:AS113)),"","x")</f>
        <v>x</v>
      </c>
      <c r="BE113" s="7" t="str" cm="1">
        <f t="array" ref="BE113">IF(AND(ISBLANK(AY113:BD113)),"","x")</f>
        <v/>
      </c>
      <c r="CC113" s="7" t="str" cm="1">
        <f t="array" ref="CC113">IF(AND(ISBLANK(BL113:CB113)),"","x")</f>
        <v/>
      </c>
    </row>
    <row r="114" spans="1:121">
      <c r="A114" t="s">
        <v>136</v>
      </c>
      <c r="B114" t="s">
        <v>133</v>
      </c>
      <c r="C114" t="s">
        <v>134</v>
      </c>
      <c r="D114" s="24" t="s">
        <v>1014</v>
      </c>
      <c r="E114" s="15"/>
      <c r="K114">
        <v>2021</v>
      </c>
      <c r="L114">
        <v>2025</v>
      </c>
      <c r="M114" s="10" t="s">
        <v>1015</v>
      </c>
      <c r="N114" s="10"/>
      <c r="O114"/>
      <c r="P114" s="10"/>
      <c r="Q114" s="10"/>
      <c r="BB114" t="s">
        <v>305</v>
      </c>
      <c r="BC114" t="s">
        <v>305</v>
      </c>
      <c r="BE114" s="7" t="str" cm="1">
        <f t="array" ref="BE114">IF(AND(ISBLANK(AY114:BD114)),"","x")</f>
        <v>x</v>
      </c>
    </row>
    <row r="115" spans="1:121">
      <c r="A115" t="s">
        <v>148</v>
      </c>
      <c r="B115" t="s">
        <v>137</v>
      </c>
      <c r="C115" t="s">
        <v>138</v>
      </c>
      <c r="D115" s="22" t="s">
        <v>139</v>
      </c>
      <c r="F115" s="20" t="s">
        <v>11</v>
      </c>
      <c r="J115" s="20" t="s">
        <v>12</v>
      </c>
      <c r="K115">
        <v>2023</v>
      </c>
      <c r="L115">
        <v>2025</v>
      </c>
      <c r="M115" s="10" t="s">
        <v>411</v>
      </c>
      <c r="N115"/>
      <c r="O115"/>
      <c r="P115" s="10" t="s">
        <v>413</v>
      </c>
      <c r="Q115" s="10" t="s">
        <v>412</v>
      </c>
      <c r="X115" t="s">
        <v>305</v>
      </c>
      <c r="Z115" s="4" t="s">
        <v>305</v>
      </c>
      <c r="AA115" s="7" t="str" cm="1">
        <f t="array" ref="AA115">IF(AND(ISBLANK(S115:Z115)),"","x")</f>
        <v>x</v>
      </c>
      <c r="AT115" s="7" t="str" cm="1">
        <f t="array" ref="AT115">IF(AND(ISBLANK(AB115:AS115)),"","x")</f>
        <v/>
      </c>
      <c r="BE115" s="7" t="str" cm="1">
        <f t="array" ref="BE115">IF(AND(ISBLANK(AY115:BD115)),"","x")</f>
        <v/>
      </c>
      <c r="CC115" s="7" t="str" cm="1">
        <f t="array" ref="CC115">IF(AND(ISBLANK(BL115:CB115)),"","x")</f>
        <v/>
      </c>
    </row>
    <row r="116" spans="1:121">
      <c r="A116" t="s">
        <v>148</v>
      </c>
      <c r="B116" t="s">
        <v>140</v>
      </c>
      <c r="C116" t="s">
        <v>141</v>
      </c>
      <c r="D116" s="22" t="s">
        <v>691</v>
      </c>
      <c r="E116" s="22" t="s">
        <v>142</v>
      </c>
      <c r="F116" s="20" t="s">
        <v>14</v>
      </c>
      <c r="J116" s="20" t="s">
        <v>15</v>
      </c>
      <c r="K116">
        <v>2018</v>
      </c>
      <c r="L116">
        <v>2025</v>
      </c>
      <c r="M116" s="10" t="s">
        <v>687</v>
      </c>
      <c r="N116"/>
      <c r="O116" s="10" t="s">
        <v>688</v>
      </c>
      <c r="P116" s="10" t="s">
        <v>689</v>
      </c>
      <c r="Q116" s="10" t="s">
        <v>690</v>
      </c>
      <c r="AA116" s="7" t="str" cm="1">
        <f t="array" ref="AA116">IF(AND(ISBLANK(S116:Z116)),"","x")</f>
        <v/>
      </c>
      <c r="AT116" s="7" t="str" cm="1">
        <f t="array" ref="AT116">IF(AND(ISBLANK(AB116:AS116)),"","x")</f>
        <v/>
      </c>
      <c r="BE116" s="7" t="str" cm="1">
        <f t="array" ref="BE116">IF(AND(ISBLANK(AY116:BD116)),"","x")</f>
        <v/>
      </c>
      <c r="BW116" t="s">
        <v>305</v>
      </c>
      <c r="CA116" t="s">
        <v>305</v>
      </c>
      <c r="CC116" s="7" t="str" cm="1">
        <f t="array" ref="CC116">IF(AND(ISBLANK(BL116:CB116)),"","x")</f>
        <v>x</v>
      </c>
      <c r="DO116"/>
      <c r="DP116"/>
      <c r="DQ116"/>
    </row>
    <row r="117" spans="1:121">
      <c r="A117" t="s">
        <v>148</v>
      </c>
      <c r="B117" t="s">
        <v>143</v>
      </c>
      <c r="C117" t="s">
        <v>144</v>
      </c>
      <c r="D117" s="22" t="s">
        <v>722</v>
      </c>
      <c r="E117" s="22" t="s">
        <v>721</v>
      </c>
      <c r="F117" s="20" t="s">
        <v>111</v>
      </c>
      <c r="J117" s="20" t="s">
        <v>15</v>
      </c>
      <c r="K117">
        <v>2001</v>
      </c>
      <c r="L117">
        <v>2022</v>
      </c>
      <c r="M117" s="10" t="s">
        <v>723</v>
      </c>
      <c r="N117" s="10" t="s">
        <v>724</v>
      </c>
      <c r="O117" s="10" t="s">
        <v>725</v>
      </c>
      <c r="P117" s="10" t="s">
        <v>726</v>
      </c>
      <c r="Q117" s="10" t="s">
        <v>727</v>
      </c>
      <c r="AA117" s="7" t="str" cm="1">
        <f t="array" ref="AA117">IF(AND(ISBLANK(S117:Z117)),"","x")</f>
        <v/>
      </c>
      <c r="AQ117" t="s">
        <v>769</v>
      </c>
      <c r="AR117" t="s">
        <v>769</v>
      </c>
      <c r="AS117" s="4" t="s">
        <v>305</v>
      </c>
      <c r="AT117" s="7" t="str" cm="1">
        <f t="array" ref="AT117">IF(AND(ISBLANK(AB117:AS117)),"","x")</f>
        <v>x</v>
      </c>
      <c r="AZ117" t="s">
        <v>305</v>
      </c>
      <c r="BC117" t="s">
        <v>305</v>
      </c>
      <c r="BD117" s="4" t="s">
        <v>305</v>
      </c>
      <c r="BE117" s="7" t="str" cm="1">
        <f t="array" ref="BE117">IF(AND(ISBLANK(AY117:BD117)),"","x")</f>
        <v>x</v>
      </c>
      <c r="BY117" t="s">
        <v>305</v>
      </c>
      <c r="CA117" t="s">
        <v>305</v>
      </c>
      <c r="CC117" s="7" t="str" cm="1">
        <f t="array" ref="CC117">IF(AND(ISBLANK(BL117:CB117)),"","x")</f>
        <v>x</v>
      </c>
      <c r="DO117"/>
      <c r="DP117"/>
      <c r="DQ117"/>
    </row>
    <row r="118" spans="1:121">
      <c r="A118" t="s">
        <v>149</v>
      </c>
      <c r="B118" t="s">
        <v>557</v>
      </c>
      <c r="C118" t="s">
        <v>558</v>
      </c>
      <c r="D118" s="22" t="s">
        <v>578</v>
      </c>
      <c r="E118" s="22" t="s">
        <v>559</v>
      </c>
      <c r="K118">
        <v>2014</v>
      </c>
      <c r="L118">
        <v>2015</v>
      </c>
      <c r="O118" s="27" t="s">
        <v>608</v>
      </c>
      <c r="AA118" s="7" t="str" cm="1">
        <f t="array" ref="AA118">IF(AND(ISBLANK(S118:Z118)),"","x")</f>
        <v/>
      </c>
      <c r="AT118" s="7" t="str" cm="1">
        <f t="array" ref="AT118">IF(AND(ISBLANK(AB118:AS118)),"","x")</f>
        <v/>
      </c>
      <c r="BE118" s="7" t="str" cm="1">
        <f t="array" ref="BE118">IF(AND(ISBLANK(AY118:BD118)),"","x")</f>
        <v/>
      </c>
      <c r="BS118" t="s">
        <v>305</v>
      </c>
      <c r="CC118" s="7" t="str" cm="1">
        <f t="array" ref="CC118">IF(AND(ISBLANK(BL118:CB118)),"","x")</f>
        <v>x</v>
      </c>
      <c r="DO118"/>
      <c r="DP118"/>
      <c r="DQ118"/>
    </row>
    <row r="119" spans="1:121">
      <c r="A119" t="s">
        <v>149</v>
      </c>
      <c r="B119" t="s">
        <v>145</v>
      </c>
      <c r="C119" t="s">
        <v>146</v>
      </c>
      <c r="D119" s="30" t="s">
        <v>578</v>
      </c>
      <c r="E119" s="22" t="s">
        <v>147</v>
      </c>
      <c r="F119" s="20" t="s">
        <v>14</v>
      </c>
      <c r="J119" s="20" t="s">
        <v>15</v>
      </c>
      <c r="K119">
        <v>2021</v>
      </c>
      <c r="L119">
        <v>2022</v>
      </c>
      <c r="M119" s="10" t="s">
        <v>728</v>
      </c>
      <c r="N119"/>
      <c r="O119"/>
      <c r="P119"/>
      <c r="Q119"/>
      <c r="AA119" s="7" t="str" cm="1">
        <f t="array" ref="AA119">IF(AND(ISBLANK(S119:Z119)),"","x")</f>
        <v/>
      </c>
      <c r="AT119" s="7" t="str" cm="1">
        <f t="array" ref="AT119">IF(AND(ISBLANK(AB119:AS119)),"","x")</f>
        <v/>
      </c>
      <c r="BE119" s="7" t="str" cm="1">
        <f t="array" ref="BE119">IF(AND(ISBLANK(AY119:BD119)),"","x")</f>
        <v/>
      </c>
      <c r="BY119" t="s">
        <v>305</v>
      </c>
      <c r="CC119" s="7" t="str" cm="1">
        <f t="array" ref="CC119">IF(AND(ISBLANK(BL119:CB119)),"","x")</f>
        <v>x</v>
      </c>
      <c r="DO119"/>
      <c r="DP119"/>
      <c r="DQ119"/>
    </row>
    <row r="120" spans="1:121">
      <c r="A120" t="s">
        <v>149</v>
      </c>
      <c r="B120" t="s">
        <v>535</v>
      </c>
      <c r="C120" t="s">
        <v>536</v>
      </c>
      <c r="D120" s="22" t="s">
        <v>643</v>
      </c>
      <c r="E120" s="22" t="s">
        <v>542</v>
      </c>
      <c r="K120">
        <v>2015</v>
      </c>
      <c r="L120">
        <v>2025</v>
      </c>
      <c r="M120"/>
      <c r="N120"/>
      <c r="O120"/>
      <c r="P120"/>
      <c r="Q120" s="10" t="s">
        <v>644</v>
      </c>
      <c r="AA120" s="7" t="str" cm="1">
        <f t="array" ref="AA120">IF(AND(ISBLANK(S120:Z120)),"","x")</f>
        <v/>
      </c>
      <c r="AT120" s="7" t="str" cm="1">
        <f t="array" ref="AT120">IF(AND(ISBLANK(AB120:AS120)),"","x")</f>
        <v/>
      </c>
      <c r="BE120" s="7" t="str" cm="1">
        <f t="array" ref="BE120">IF(AND(ISBLANK(AY120:BD120)),"","x")</f>
        <v/>
      </c>
      <c r="BT120" t="s">
        <v>305</v>
      </c>
      <c r="BV120" t="s">
        <v>305</v>
      </c>
      <c r="CC120" s="7" t="str" cm="1">
        <f t="array" ref="CC120">IF(AND(ISBLANK(BL120:CB120)),"","x")</f>
        <v>x</v>
      </c>
      <c r="DO120" t="s">
        <v>305</v>
      </c>
      <c r="DP120"/>
      <c r="DQ120"/>
    </row>
    <row r="121" spans="1:121">
      <c r="A121" t="s">
        <v>149</v>
      </c>
      <c r="B121" t="s">
        <v>505</v>
      </c>
      <c r="C121" t="s">
        <v>506</v>
      </c>
      <c r="D121" s="22" t="s">
        <v>578</v>
      </c>
      <c r="E121" s="23" t="s">
        <v>507</v>
      </c>
      <c r="K121">
        <v>2004</v>
      </c>
      <c r="L121">
        <v>2016</v>
      </c>
      <c r="M121" s="10" t="s">
        <v>787</v>
      </c>
      <c r="N121"/>
      <c r="O121"/>
      <c r="P121"/>
      <c r="Q121"/>
      <c r="AA121" s="7" t="str" cm="1">
        <f t="array" ref="AA121">IF(AND(ISBLANK(S121:Z121)),"","x")</f>
        <v/>
      </c>
      <c r="AB121" s="20" t="s">
        <v>769</v>
      </c>
      <c r="AC121" t="s">
        <v>305</v>
      </c>
      <c r="AD121" t="s">
        <v>305</v>
      </c>
      <c r="AE121" t="s">
        <v>305</v>
      </c>
      <c r="AF121" t="s">
        <v>305</v>
      </c>
      <c r="AG121" t="s">
        <v>305</v>
      </c>
      <c r="AH121" t="s">
        <v>305</v>
      </c>
      <c r="AI121" t="s">
        <v>305</v>
      </c>
      <c r="AJ121" t="s">
        <v>932</v>
      </c>
      <c r="AT121" s="7" t="str" cm="1">
        <f t="array" ref="AT121">IF(AND(ISBLANK(AB121:AS121)),"","x")</f>
        <v>x</v>
      </c>
      <c r="BE121" s="7" t="str" cm="1">
        <f t="array" ref="BE121">IF(AND(ISBLANK(AY121:BD121)),"","x")</f>
        <v/>
      </c>
      <c r="CC121" s="7" t="str" cm="1">
        <f t="array" ref="CC121">IF(AND(ISBLANK(BL121:CB121)),"","x")</f>
        <v/>
      </c>
      <c r="DO121"/>
      <c r="DP121"/>
      <c r="DQ121"/>
    </row>
    <row r="122" spans="1:121">
      <c r="A122" t="s">
        <v>475</v>
      </c>
      <c r="B122" t="s">
        <v>475</v>
      </c>
      <c r="C122" t="s">
        <v>476</v>
      </c>
      <c r="D122" s="22" t="s">
        <v>578</v>
      </c>
      <c r="E122" s="22" t="s">
        <v>899</v>
      </c>
      <c r="K122">
        <v>2022</v>
      </c>
      <c r="L122">
        <v>2022</v>
      </c>
      <c r="M122"/>
      <c r="N122"/>
      <c r="O122"/>
      <c r="P122"/>
      <c r="Q122"/>
      <c r="R122" s="4" t="s">
        <v>908</v>
      </c>
      <c r="W122" t="s">
        <v>305</v>
      </c>
      <c r="AA122" s="7" t="str" cm="1">
        <f t="array" ref="AA122">IF(AND(ISBLANK(S122:Z122)),"","x")</f>
        <v>x</v>
      </c>
      <c r="AT122" s="7" t="str" cm="1">
        <f t="array" ref="AT122">IF(AND(ISBLANK(AB122:AS122)),"","x")</f>
        <v/>
      </c>
      <c r="BE122" s="7" t="str" cm="1">
        <f t="array" ref="BE122">IF(AND(ISBLANK(AY122:BD122)),"","x")</f>
        <v/>
      </c>
      <c r="CC122" s="7" t="str" cm="1">
        <f t="array" ref="CC122">IF(AND(ISBLANK(BL122:CB122)),"","x")</f>
        <v/>
      </c>
      <c r="DO122"/>
      <c r="DP122"/>
      <c r="DQ122"/>
    </row>
    <row r="123" spans="1:121">
      <c r="A123" t="s">
        <v>167</v>
      </c>
      <c r="B123" t="s">
        <v>150</v>
      </c>
      <c r="C123" t="s">
        <v>151</v>
      </c>
      <c r="D123" s="22" t="s">
        <v>152</v>
      </c>
      <c r="F123" s="20" t="s">
        <v>11</v>
      </c>
      <c r="J123" s="20" t="s">
        <v>12</v>
      </c>
      <c r="K123">
        <v>2020</v>
      </c>
      <c r="L123">
        <v>2025</v>
      </c>
      <c r="M123" s="10" t="s">
        <v>423</v>
      </c>
      <c r="N123"/>
      <c r="O123"/>
      <c r="P123" s="10" t="s">
        <v>360</v>
      </c>
      <c r="Q123" s="10" t="s">
        <v>359</v>
      </c>
      <c r="R123" s="4" t="s">
        <v>153</v>
      </c>
      <c r="V123" t="s">
        <v>305</v>
      </c>
      <c r="W123" t="s">
        <v>305</v>
      </c>
      <c r="X123" t="s">
        <v>305</v>
      </c>
      <c r="Y123" t="s">
        <v>305</v>
      </c>
      <c r="Z123" s="4" t="s">
        <v>769</v>
      </c>
      <c r="AA123" s="7" t="str" cm="1">
        <f t="array" ref="AA123">IF(AND(ISBLANK(S123:Z123)),"","x")</f>
        <v>x</v>
      </c>
      <c r="AT123" s="7" t="str" cm="1">
        <f t="array" ref="AT123">IF(AND(ISBLANK(AB123:AS123)),"","x")</f>
        <v/>
      </c>
      <c r="BE123" s="7" t="str" cm="1">
        <f t="array" ref="BE123">IF(AND(ISBLANK(AY123:BD123)),"","x")</f>
        <v/>
      </c>
      <c r="CC123" s="7" t="str" cm="1">
        <f t="array" ref="CC123">IF(AND(ISBLANK(BL123:CB123)),"","x")</f>
        <v/>
      </c>
    </row>
    <row r="124" spans="1:121">
      <c r="A124" t="s">
        <v>167</v>
      </c>
      <c r="B124" t="s">
        <v>150</v>
      </c>
      <c r="C124" t="s">
        <v>151</v>
      </c>
      <c r="D124" s="22" t="s">
        <v>976</v>
      </c>
      <c r="K124">
        <v>2017</v>
      </c>
      <c r="L124">
        <v>2025</v>
      </c>
      <c r="M124" s="10" t="s">
        <v>977</v>
      </c>
      <c r="N124"/>
      <c r="O124"/>
      <c r="P124" s="10"/>
      <c r="Q124" s="10"/>
      <c r="AZ124" t="s">
        <v>305</v>
      </c>
      <c r="BA124" t="s">
        <v>305</v>
      </c>
      <c r="BB124" t="s">
        <v>305</v>
      </c>
      <c r="BD124" s="4" t="s">
        <v>305</v>
      </c>
      <c r="BE124" s="7" t="str" cm="1">
        <f t="array" ref="BE124">IF(AND(ISBLANK(AY124:BD124)),"","x")</f>
        <v>x</v>
      </c>
    </row>
    <row r="125" spans="1:121">
      <c r="A125" t="s">
        <v>167</v>
      </c>
      <c r="B125" t="s">
        <v>150</v>
      </c>
      <c r="C125" t="s">
        <v>151</v>
      </c>
      <c r="D125" s="22" t="s">
        <v>578</v>
      </c>
      <c r="E125" t="s">
        <v>780</v>
      </c>
      <c r="K125">
        <v>2009</v>
      </c>
      <c r="L125">
        <v>2012</v>
      </c>
      <c r="M125" s="10"/>
      <c r="N125"/>
      <c r="O125"/>
      <c r="P125" s="10"/>
      <c r="Q125" s="10"/>
      <c r="R125" s="4" t="s">
        <v>781</v>
      </c>
      <c r="AB125" s="20" t="s">
        <v>769</v>
      </c>
      <c r="AC125" t="s">
        <v>305</v>
      </c>
      <c r="AD125" t="s">
        <v>305</v>
      </c>
      <c r="AE125" t="s">
        <v>305</v>
      </c>
      <c r="AF125" t="s">
        <v>305</v>
      </c>
      <c r="AG125" t="s">
        <v>932</v>
      </c>
      <c r="AT125" s="7" t="str" cm="1">
        <f t="array" ref="AT125">IF(AND(ISBLANK(AB125:AS125)),"","x")</f>
        <v>x</v>
      </c>
      <c r="BE125" s="7" t="str" cm="1">
        <f t="array" ref="BE125">IF(AND(ISBLANK(AY125:BD125)),"","x")</f>
        <v/>
      </c>
    </row>
    <row r="126" spans="1:121">
      <c r="A126" t="s">
        <v>167</v>
      </c>
      <c r="B126" t="s">
        <v>154</v>
      </c>
      <c r="C126" t="s">
        <v>155</v>
      </c>
      <c r="D126" s="22" t="s">
        <v>156</v>
      </c>
      <c r="F126" s="20" t="s">
        <v>11</v>
      </c>
      <c r="J126" s="20" t="s">
        <v>12</v>
      </c>
      <c r="K126">
        <v>2022</v>
      </c>
      <c r="L126">
        <v>2025</v>
      </c>
      <c r="M126" s="10" t="s">
        <v>371</v>
      </c>
      <c r="N126"/>
      <c r="O126"/>
      <c r="P126" s="10" t="s">
        <v>373</v>
      </c>
      <c r="Q126" s="10" t="s">
        <v>372</v>
      </c>
      <c r="R126" s="4" t="s">
        <v>767</v>
      </c>
      <c r="W126" t="s">
        <v>305</v>
      </c>
      <c r="X126" t="s">
        <v>305</v>
      </c>
      <c r="Y126" t="s">
        <v>769</v>
      </c>
      <c r="Z126" s="4" t="s">
        <v>305</v>
      </c>
      <c r="AA126" s="7" t="str" cm="1">
        <f t="array" ref="AA126">IF(AND(ISBLANK(S126:Z126)),"","x")</f>
        <v>x</v>
      </c>
      <c r="AT126" s="7" t="str" cm="1">
        <f t="array" ref="AT126">IF(AND(ISBLANK(AB126:AS126)),"","x")</f>
        <v/>
      </c>
      <c r="BE126" s="7" t="str" cm="1">
        <f t="array" ref="BE126">IF(AND(ISBLANK(AY126:BD126)),"","x")</f>
        <v/>
      </c>
      <c r="CC126" s="7" t="str" cm="1">
        <f t="array" ref="CC126">IF(AND(ISBLANK(BL126:CB126)),"","x")</f>
        <v/>
      </c>
    </row>
    <row r="127" spans="1:121">
      <c r="A127" t="s">
        <v>167</v>
      </c>
      <c r="B127" t="s">
        <v>157</v>
      </c>
      <c r="C127" t="s">
        <v>158</v>
      </c>
      <c r="D127" s="22" t="s">
        <v>578</v>
      </c>
      <c r="E127" s="22" t="s">
        <v>567</v>
      </c>
      <c r="F127" s="20" t="s">
        <v>111</v>
      </c>
      <c r="J127" s="20" t="s">
        <v>58</v>
      </c>
      <c r="K127">
        <v>2018</v>
      </c>
      <c r="L127">
        <v>2023</v>
      </c>
      <c r="M127" s="10" t="s">
        <v>692</v>
      </c>
      <c r="N127"/>
      <c r="O127" s="10" t="s">
        <v>693</v>
      </c>
      <c r="P127"/>
      <c r="Q127"/>
      <c r="AA127" s="7" t="str" cm="1">
        <f t="array" ref="AA127">IF(AND(ISBLANK(S127:Z127)),"","x")</f>
        <v/>
      </c>
      <c r="AT127" s="7" t="str" cm="1">
        <f t="array" ref="AT127">IF(AND(ISBLANK(AB127:AS127)),"","x")</f>
        <v/>
      </c>
      <c r="BE127" s="7" t="str" cm="1">
        <f t="array" ref="BE127">IF(AND(ISBLANK(AY127:BD127)),"","x")</f>
        <v/>
      </c>
      <c r="BW127" t="s">
        <v>305</v>
      </c>
      <c r="BY127" t="s">
        <v>305</v>
      </c>
      <c r="BZ127" t="s">
        <v>305</v>
      </c>
      <c r="CC127" s="7" t="str" cm="1">
        <f t="array" ref="CC127">IF(AND(ISBLANK(BL127:CB127)),"","x")</f>
        <v>x</v>
      </c>
      <c r="DO127"/>
      <c r="DP127"/>
      <c r="DQ127"/>
    </row>
    <row r="128" spans="1:121">
      <c r="A128" t="s">
        <v>167</v>
      </c>
      <c r="B128" t="s">
        <v>585</v>
      </c>
      <c r="C128" t="s">
        <v>586</v>
      </c>
      <c r="D128" s="22" t="s">
        <v>578</v>
      </c>
      <c r="E128" t="s">
        <v>587</v>
      </c>
      <c r="K128">
        <v>2015</v>
      </c>
      <c r="L128">
        <v>2016</v>
      </c>
      <c r="M128" s="10" t="s">
        <v>645</v>
      </c>
      <c r="N128"/>
      <c r="O128"/>
      <c r="P128"/>
      <c r="Q128"/>
      <c r="AA128" s="7" t="str" cm="1">
        <f t="array" ref="AA128">IF(AND(ISBLANK(S128:Z128)),"","x")</f>
        <v/>
      </c>
      <c r="AT128" s="7" t="str" cm="1">
        <f t="array" ref="AT128">IF(AND(ISBLANK(AB128:AS128)),"","x")</f>
        <v/>
      </c>
      <c r="BE128" s="7" t="str" cm="1">
        <f t="array" ref="BE128">IF(AND(ISBLANK(AY128:BD128)),"","x")</f>
        <v/>
      </c>
      <c r="BT128" t="s">
        <v>305</v>
      </c>
      <c r="CC128" s="7" t="str" cm="1">
        <f t="array" ref="CC128">IF(AND(ISBLANK(BL128:CB128)),"","x")</f>
        <v>x</v>
      </c>
      <c r="DO128"/>
      <c r="DP128"/>
      <c r="DQ128"/>
    </row>
    <row r="129" spans="1:123">
      <c r="A129" t="s">
        <v>167</v>
      </c>
      <c r="B129" t="s">
        <v>163</v>
      </c>
      <c r="C129" t="s">
        <v>164</v>
      </c>
      <c r="D129" s="22" t="s">
        <v>165</v>
      </c>
      <c r="E129" t="s">
        <v>864</v>
      </c>
      <c r="F129" s="20" t="s">
        <v>166</v>
      </c>
      <c r="J129" s="20" t="s">
        <v>162</v>
      </c>
      <c r="K129">
        <v>2017</v>
      </c>
      <c r="L129">
        <v>2025</v>
      </c>
      <c r="M129" s="10" t="s">
        <v>865</v>
      </c>
      <c r="N129"/>
      <c r="O129"/>
      <c r="P129" s="10" t="s">
        <v>866</v>
      </c>
      <c r="Q129" s="10" t="s">
        <v>867</v>
      </c>
      <c r="AA129" s="7" t="str" cm="1">
        <f t="array" ref="AA129">IF(AND(ISBLANK(S129:Z129)),"","x")</f>
        <v/>
      </c>
      <c r="AP129" t="s">
        <v>769</v>
      </c>
      <c r="AQ129" t="s">
        <v>305</v>
      </c>
      <c r="AR129" t="s">
        <v>305</v>
      </c>
      <c r="AS129" s="4" t="s">
        <v>305</v>
      </c>
      <c r="AT129" s="7" t="str" cm="1">
        <f t="array" ref="AT129">IF(AND(ISBLANK(AB129:AS129)),"","x")</f>
        <v>x</v>
      </c>
      <c r="AY129" t="s">
        <v>305</v>
      </c>
      <c r="AZ129" t="s">
        <v>305</v>
      </c>
      <c r="BA129" t="s">
        <v>305</v>
      </c>
      <c r="BD129" s="4" t="s">
        <v>305</v>
      </c>
      <c r="BE129" s="7" t="str" cm="1">
        <f t="array" ref="BE129">IF(AND(ISBLANK(AY129:BD129)),"","x")</f>
        <v>x</v>
      </c>
      <c r="CC129" s="7" t="str" cm="1">
        <f t="array" ref="CC129">IF(AND(ISBLANK(BL129:CB129)),"","x")</f>
        <v/>
      </c>
      <c r="DO129"/>
      <c r="DP129"/>
      <c r="DQ129"/>
      <c r="DR129" t="s">
        <v>305</v>
      </c>
      <c r="DS129" t="s">
        <v>305</v>
      </c>
    </row>
    <row r="130" spans="1:123">
      <c r="A130" t="s">
        <v>168</v>
      </c>
      <c r="B130" t="s">
        <v>159</v>
      </c>
      <c r="C130" t="s">
        <v>160</v>
      </c>
      <c r="D130" s="22" t="s">
        <v>161</v>
      </c>
      <c r="F130" s="20" t="s">
        <v>32</v>
      </c>
      <c r="J130" s="20" t="s">
        <v>162</v>
      </c>
      <c r="K130">
        <v>2019</v>
      </c>
      <c r="L130">
        <v>2025</v>
      </c>
      <c r="M130" s="10" t="s">
        <v>972</v>
      </c>
      <c r="N130"/>
      <c r="O130" s="10" t="s">
        <v>973</v>
      </c>
      <c r="P130" s="10" t="s">
        <v>974</v>
      </c>
      <c r="Q130" s="10" t="s">
        <v>975</v>
      </c>
      <c r="AA130" s="7" t="str" cm="1">
        <f t="array" ref="AA130">IF(AND(ISBLANK(S130:Z130)),"","x")</f>
        <v/>
      </c>
      <c r="AT130" s="7" t="str" cm="1">
        <f t="array" ref="AT130">IF(AND(ISBLANK(AB130:AS130)),"","x")</f>
        <v/>
      </c>
      <c r="AZ130" t="s">
        <v>305</v>
      </c>
      <c r="BA130" t="s">
        <v>305</v>
      </c>
      <c r="BB130" t="s">
        <v>305</v>
      </c>
      <c r="BC130" t="s">
        <v>305</v>
      </c>
      <c r="BD130" s="4" t="s">
        <v>305</v>
      </c>
      <c r="BE130" s="7" t="str" cm="1">
        <f t="array" ref="BE130">IF(AND(ISBLANK(AY130:BD130)),"","x")</f>
        <v>x</v>
      </c>
      <c r="CC130" s="7" t="str" cm="1">
        <f t="array" ref="CC130">IF(AND(ISBLANK(BL130:CB130)),"","x")</f>
        <v/>
      </c>
      <c r="DO130"/>
      <c r="DP130"/>
      <c r="DQ130"/>
    </row>
    <row r="131" spans="1:123">
      <c r="A131" t="s">
        <v>168</v>
      </c>
      <c r="B131" t="s">
        <v>945</v>
      </c>
      <c r="C131" t="s">
        <v>946</v>
      </c>
      <c r="D131" s="22" t="s">
        <v>947</v>
      </c>
      <c r="E131" t="s">
        <v>948</v>
      </c>
      <c r="K131">
        <v>2010</v>
      </c>
      <c r="L131">
        <v>2025</v>
      </c>
      <c r="M131" s="10" t="s">
        <v>949</v>
      </c>
      <c r="N131"/>
      <c r="O131" s="10" t="s">
        <v>950</v>
      </c>
      <c r="P131" s="10" t="s">
        <v>951</v>
      </c>
      <c r="Q131" s="10" t="s">
        <v>952</v>
      </c>
      <c r="AY131" t="s">
        <v>305</v>
      </c>
      <c r="BA131" t="s">
        <v>305</v>
      </c>
      <c r="BB131" t="s">
        <v>305</v>
      </c>
      <c r="BC131" t="s">
        <v>305</v>
      </c>
      <c r="BD131" s="4" t="s">
        <v>305</v>
      </c>
      <c r="BE131" s="7" t="str" cm="1">
        <f t="array" ref="BE131">IF(AND(ISBLANK(AY131:BD131)),"","x")</f>
        <v>x</v>
      </c>
      <c r="DO131"/>
      <c r="DP131"/>
      <c r="DQ131"/>
    </row>
    <row r="132" spans="1:123">
      <c r="A132" t="s">
        <v>217</v>
      </c>
      <c r="B132" t="s">
        <v>169</v>
      </c>
      <c r="C132" t="s">
        <v>759</v>
      </c>
      <c r="D132" s="22" t="s">
        <v>903</v>
      </c>
      <c r="E132" s="22" t="s">
        <v>901</v>
      </c>
      <c r="F132" s="20" t="s">
        <v>11</v>
      </c>
      <c r="J132" s="20" t="s">
        <v>12</v>
      </c>
      <c r="K132">
        <v>2020</v>
      </c>
      <c r="L132">
        <v>2025</v>
      </c>
      <c r="M132" s="10" t="s">
        <v>902</v>
      </c>
      <c r="N132"/>
      <c r="O132" s="10" t="s">
        <v>900</v>
      </c>
      <c r="P132" s="10" t="s">
        <v>397</v>
      </c>
      <c r="Q132"/>
      <c r="Z132" s="4" t="s">
        <v>305</v>
      </c>
      <c r="AA132" s="7" t="str" cm="1">
        <f t="array" ref="AA132">IF(AND(ISBLANK(S132:Z132)),"","x")</f>
        <v>x</v>
      </c>
      <c r="AT132" s="7" t="str" cm="1">
        <f t="array" ref="AT132">IF(AND(ISBLANK(AB132:AS132)),"","x")</f>
        <v/>
      </c>
      <c r="BE132" s="7" t="str" cm="1">
        <f t="array" ref="BE132">IF(AND(ISBLANK(AY132:BD132)),"","x")</f>
        <v/>
      </c>
      <c r="CC132" s="7" t="str" cm="1">
        <f t="array" ref="CC132">IF(AND(ISBLANK(BL132:CB132)),"","x")</f>
        <v/>
      </c>
    </row>
    <row r="133" spans="1:123" ht="43.2">
      <c r="A133" t="s">
        <v>217</v>
      </c>
      <c r="B133" t="s">
        <v>1059</v>
      </c>
      <c r="C133" s="3" t="s">
        <v>170</v>
      </c>
      <c r="D133" s="25" t="s">
        <v>171</v>
      </c>
      <c r="E133" s="3"/>
      <c r="F133" s="20" t="s">
        <v>11</v>
      </c>
      <c r="J133" s="20" t="s">
        <v>12</v>
      </c>
      <c r="K133">
        <v>2014</v>
      </c>
      <c r="L133">
        <v>2024</v>
      </c>
      <c r="M133" s="10" t="s">
        <v>444</v>
      </c>
      <c r="N133"/>
      <c r="O133" s="10" t="s">
        <v>445</v>
      </c>
      <c r="P133" s="10" t="s">
        <v>447</v>
      </c>
      <c r="Q133" s="10" t="s">
        <v>446</v>
      </c>
      <c r="S133" t="s">
        <v>305</v>
      </c>
      <c r="T133" t="s">
        <v>305</v>
      </c>
      <c r="Y133" t="s">
        <v>305</v>
      </c>
      <c r="AA133" s="7" t="str" cm="1">
        <f t="array" ref="AA133">IF(AND(ISBLANK(S133:Z133)),"","x")</f>
        <v>x</v>
      </c>
      <c r="AT133" s="7" t="str" cm="1">
        <f t="array" ref="AT133">IF(AND(ISBLANK(AB133:AS133)),"","x")</f>
        <v/>
      </c>
      <c r="BE133" s="7" t="str" cm="1">
        <f t="array" ref="BE133">IF(AND(ISBLANK(AY133:BD133)),"","x")</f>
        <v/>
      </c>
      <c r="CC133" s="7" t="str" cm="1">
        <f t="array" ref="CC133">IF(AND(ISBLANK(BL133:CB133)),"","x")</f>
        <v/>
      </c>
      <c r="DO133"/>
      <c r="DP133"/>
      <c r="DQ133"/>
    </row>
    <row r="134" spans="1:123" ht="43.2">
      <c r="A134" t="s">
        <v>217</v>
      </c>
      <c r="B134" t="s">
        <v>172</v>
      </c>
      <c r="C134" t="s">
        <v>173</v>
      </c>
      <c r="D134" s="25" t="s">
        <v>694</v>
      </c>
      <c r="E134" s="3" t="s">
        <v>696</v>
      </c>
      <c r="K134">
        <v>2013</v>
      </c>
      <c r="L134">
        <v>2025</v>
      </c>
      <c r="M134" s="10" t="s">
        <v>697</v>
      </c>
      <c r="N134"/>
      <c r="O134" s="10" t="s">
        <v>698</v>
      </c>
      <c r="P134" s="10" t="s">
        <v>699</v>
      </c>
      <c r="Q134" s="10" t="s">
        <v>700</v>
      </c>
      <c r="AA134" s="7" t="str" cm="1">
        <f t="array" ref="AA134">IF(AND(ISBLANK(S134:Z134)),"","x")</f>
        <v/>
      </c>
      <c r="AT134" s="7" t="str" cm="1">
        <f t="array" ref="AT134">IF(AND(ISBLANK(AB134:AS134)),"","x")</f>
        <v/>
      </c>
      <c r="AZ134" t="s">
        <v>305</v>
      </c>
      <c r="BE134" s="7" t="str" cm="1">
        <f t="array" ref="BE134">IF(AND(ISBLANK(AY134:BD134)),"","x")</f>
        <v>x</v>
      </c>
      <c r="CC134" s="7" t="str" cm="1">
        <f t="array" ref="CC134">IF(AND(ISBLANK(BL134:CB134)),"","x")</f>
        <v/>
      </c>
      <c r="DO134"/>
      <c r="DP134"/>
      <c r="DQ134"/>
      <c r="DR134" t="s">
        <v>305</v>
      </c>
    </row>
    <row r="135" spans="1:123">
      <c r="A135" t="s">
        <v>217</v>
      </c>
      <c r="B135" t="s">
        <v>172</v>
      </c>
      <c r="C135" t="s">
        <v>173</v>
      </c>
      <c r="D135" s="22" t="s">
        <v>578</v>
      </c>
      <c r="E135" s="22" t="s">
        <v>695</v>
      </c>
      <c r="F135" s="20" t="s">
        <v>174</v>
      </c>
      <c r="J135" s="20" t="s">
        <v>58</v>
      </c>
      <c r="K135">
        <v>2018</v>
      </c>
      <c r="L135">
        <v>2019</v>
      </c>
      <c r="M135"/>
      <c r="N135"/>
      <c r="O135" s="10" t="s">
        <v>701</v>
      </c>
      <c r="P135"/>
      <c r="Q135"/>
      <c r="AA135" s="7" t="str" cm="1">
        <f t="array" ref="AA135">IF(AND(ISBLANK(S135:Z135)),"","x")</f>
        <v/>
      </c>
      <c r="AT135" s="7" t="str" cm="1">
        <f t="array" ref="AT135">IF(AND(ISBLANK(AB135:AS135)),"","x")</f>
        <v/>
      </c>
      <c r="BE135" s="7" t="str" cm="1">
        <f t="array" ref="BE135">IF(AND(ISBLANK(AY135:BD135)),"","x")</f>
        <v/>
      </c>
      <c r="BW135" t="s">
        <v>305</v>
      </c>
      <c r="BX135" t="s">
        <v>305</v>
      </c>
      <c r="CA135" t="s">
        <v>305</v>
      </c>
      <c r="CC135" s="7" t="str" cm="1">
        <f t="array" ref="CC135">IF(AND(ISBLANK(BL135:CB135)),"","x")</f>
        <v>x</v>
      </c>
      <c r="DO135"/>
      <c r="DP135"/>
      <c r="DQ135"/>
    </row>
    <row r="136" spans="1:123">
      <c r="A136" t="s">
        <v>217</v>
      </c>
      <c r="B136" t="s">
        <v>175</v>
      </c>
      <c r="C136" t="s">
        <v>176</v>
      </c>
      <c r="D136" s="22" t="s">
        <v>177</v>
      </c>
      <c r="F136" s="20" t="s">
        <v>11</v>
      </c>
      <c r="J136" s="20" t="s">
        <v>12</v>
      </c>
      <c r="K136">
        <v>2022</v>
      </c>
      <c r="L136">
        <v>2024</v>
      </c>
      <c r="M136" s="10" t="s">
        <v>441</v>
      </c>
      <c r="N136"/>
      <c r="O136" s="10" t="s">
        <v>443</v>
      </c>
      <c r="P136"/>
      <c r="Q136" s="10" t="s">
        <v>442</v>
      </c>
      <c r="Y136" t="s">
        <v>305</v>
      </c>
      <c r="AA136" s="7" t="str" cm="1">
        <f t="array" ref="AA136">IF(AND(ISBLANK(S136:Z136)),"","x")</f>
        <v>x</v>
      </c>
      <c r="AT136" s="7" t="str" cm="1">
        <f t="array" ref="AT136">IF(AND(ISBLANK(AB136:AS136)),"","x")</f>
        <v/>
      </c>
      <c r="BE136" s="7" t="str" cm="1">
        <f t="array" ref="BE136">IF(AND(ISBLANK(AY136:BD136)),"","x")</f>
        <v/>
      </c>
      <c r="CC136" s="7" t="str" cm="1">
        <f t="array" ref="CC136">IF(AND(ISBLANK(BL136:CB136)),"","x")</f>
        <v/>
      </c>
      <c r="DO136"/>
      <c r="DP136"/>
      <c r="DQ136"/>
    </row>
    <row r="137" spans="1:123">
      <c r="A137" t="s">
        <v>217</v>
      </c>
      <c r="B137" t="s">
        <v>175</v>
      </c>
      <c r="C137" t="s">
        <v>176</v>
      </c>
      <c r="D137" s="22" t="s">
        <v>178</v>
      </c>
      <c r="F137" s="20" t="s">
        <v>11</v>
      </c>
      <c r="J137" s="20" t="s">
        <v>12</v>
      </c>
      <c r="K137">
        <v>2018</v>
      </c>
      <c r="L137">
        <v>2025</v>
      </c>
      <c r="M137" s="10" t="s">
        <v>461</v>
      </c>
      <c r="N137"/>
      <c r="O137"/>
      <c r="P137" s="10" t="s">
        <v>463</v>
      </c>
      <c r="Q137" s="10" t="s">
        <v>462</v>
      </c>
      <c r="S137" t="s">
        <v>305</v>
      </c>
      <c r="T137" t="s">
        <v>305</v>
      </c>
      <c r="U137" t="s">
        <v>305</v>
      </c>
      <c r="X137" t="s">
        <v>305</v>
      </c>
      <c r="Y137" t="s">
        <v>305</v>
      </c>
      <c r="AA137" s="7" t="str" cm="1">
        <f t="array" ref="AA137">IF(AND(ISBLANK(S137:Z137)),"","x")</f>
        <v>x</v>
      </c>
      <c r="AT137" s="7" t="str" cm="1">
        <f t="array" ref="AT137">IF(AND(ISBLANK(AB137:AS137)),"","x")</f>
        <v/>
      </c>
      <c r="BE137" s="7" t="str" cm="1">
        <f t="array" ref="BE137">IF(AND(ISBLANK(AY137:BD137)),"","x")</f>
        <v/>
      </c>
      <c r="CC137" s="7" t="str" cm="1">
        <f t="array" ref="CC137">IF(AND(ISBLANK(BL137:CB137)),"","x")</f>
        <v/>
      </c>
      <c r="DO137"/>
      <c r="DP137"/>
      <c r="DQ137"/>
    </row>
    <row r="138" spans="1:123">
      <c r="A138" t="s">
        <v>217</v>
      </c>
      <c r="B138" t="s">
        <v>179</v>
      </c>
      <c r="C138" t="s">
        <v>180</v>
      </c>
      <c r="D138" s="22" t="s">
        <v>181</v>
      </c>
      <c r="F138" s="20" t="s">
        <v>11</v>
      </c>
      <c r="J138" s="20" t="s">
        <v>12</v>
      </c>
      <c r="K138">
        <v>2016</v>
      </c>
      <c r="L138">
        <v>2024</v>
      </c>
      <c r="M138"/>
      <c r="N138"/>
      <c r="O138" s="10" t="s">
        <v>459</v>
      </c>
      <c r="P138"/>
      <c r="Q138"/>
      <c r="R138" s="4" t="s">
        <v>766</v>
      </c>
      <c r="S138" t="s">
        <v>769</v>
      </c>
      <c r="T138" t="s">
        <v>769</v>
      </c>
      <c r="U138" t="s">
        <v>305</v>
      </c>
      <c r="V138" t="s">
        <v>769</v>
      </c>
      <c r="W138" t="s">
        <v>305</v>
      </c>
      <c r="X138" t="s">
        <v>305</v>
      </c>
      <c r="Y138" t="s">
        <v>305</v>
      </c>
      <c r="AA138" s="7" t="str" cm="1">
        <f t="array" ref="AA138">IF(AND(ISBLANK(S138:Z138)),"","x")</f>
        <v>x</v>
      </c>
      <c r="AT138" s="7" t="str" cm="1">
        <f t="array" ref="AT138">IF(AND(ISBLANK(AB138:AS138)),"","x")</f>
        <v/>
      </c>
      <c r="BE138" s="7" t="str" cm="1">
        <f t="array" ref="BE138">IF(AND(ISBLANK(AY138:BD138)),"","x")</f>
        <v/>
      </c>
      <c r="CC138" s="7" t="str" cm="1">
        <f t="array" ref="CC138">IF(AND(ISBLANK(BL138:CB138)),"","x")</f>
        <v/>
      </c>
      <c r="DO138"/>
      <c r="DP138"/>
      <c r="DQ138"/>
    </row>
    <row r="139" spans="1:123">
      <c r="A139" t="s">
        <v>217</v>
      </c>
      <c r="B139" t="s">
        <v>179</v>
      </c>
      <c r="C139" t="s">
        <v>180</v>
      </c>
      <c r="D139" s="22" t="s">
        <v>182</v>
      </c>
      <c r="F139" s="20" t="s">
        <v>11</v>
      </c>
      <c r="J139" s="20" t="s">
        <v>12</v>
      </c>
      <c r="K139">
        <v>2018</v>
      </c>
      <c r="L139">
        <v>2023</v>
      </c>
      <c r="M139" s="10" t="s">
        <v>465</v>
      </c>
      <c r="N139"/>
      <c r="O139" s="10" t="s">
        <v>466</v>
      </c>
      <c r="P139"/>
      <c r="Q139"/>
      <c r="S139" t="s">
        <v>305</v>
      </c>
      <c r="T139" t="s">
        <v>305</v>
      </c>
      <c r="U139" t="s">
        <v>305</v>
      </c>
      <c r="W139" t="s">
        <v>305</v>
      </c>
      <c r="X139" t="s">
        <v>305</v>
      </c>
      <c r="AA139" s="7" t="str" cm="1">
        <f t="array" ref="AA139">IF(AND(ISBLANK(S139:Z139)),"","x")</f>
        <v>x</v>
      </c>
      <c r="AT139" s="7" t="str" cm="1">
        <f t="array" ref="AT139">IF(AND(ISBLANK(AB139:AS139)),"","x")</f>
        <v/>
      </c>
      <c r="BE139" s="7" t="str" cm="1">
        <f t="array" ref="BE139">IF(AND(ISBLANK(AY139:BD139)),"","x")</f>
        <v/>
      </c>
      <c r="CC139" s="7" t="str" cm="1">
        <f t="array" ref="CC139">IF(AND(ISBLANK(BL139:CB139)),"","x")</f>
        <v/>
      </c>
      <c r="DO139"/>
      <c r="DP139"/>
      <c r="DQ139"/>
    </row>
    <row r="140" spans="1:123">
      <c r="A140" t="s">
        <v>217</v>
      </c>
      <c r="B140" t="s">
        <v>183</v>
      </c>
      <c r="C140" t="s">
        <v>184</v>
      </c>
      <c r="D140" s="22" t="s">
        <v>185</v>
      </c>
      <c r="F140" s="20" t="s">
        <v>11</v>
      </c>
      <c r="J140" s="20" t="s">
        <v>12</v>
      </c>
      <c r="K140">
        <v>2014</v>
      </c>
      <c r="L140">
        <v>2025</v>
      </c>
      <c r="M140" s="10" t="s">
        <v>338</v>
      </c>
      <c r="N140"/>
      <c r="O140"/>
      <c r="P140" s="10" t="s">
        <v>340</v>
      </c>
      <c r="Q140" s="10" t="s">
        <v>339</v>
      </c>
      <c r="R140" s="4" t="s">
        <v>768</v>
      </c>
      <c r="S140" t="s">
        <v>305</v>
      </c>
      <c r="T140" t="s">
        <v>305</v>
      </c>
      <c r="U140" t="s">
        <v>305</v>
      </c>
      <c r="V140" t="s">
        <v>305</v>
      </c>
      <c r="W140" t="s">
        <v>769</v>
      </c>
      <c r="X140" t="s">
        <v>769</v>
      </c>
      <c r="Y140" t="s">
        <v>305</v>
      </c>
      <c r="Z140" s="4" t="s">
        <v>305</v>
      </c>
      <c r="AA140" s="7" t="str" cm="1">
        <f t="array" ref="AA140">IF(AND(ISBLANK(S140:Z140)),"","x")</f>
        <v>x</v>
      </c>
      <c r="AT140" s="7" t="str" cm="1">
        <f t="array" ref="AT140">IF(AND(ISBLANK(AB140:AS140)),"","x")</f>
        <v/>
      </c>
      <c r="AZ140" t="s">
        <v>305</v>
      </c>
      <c r="BB140" t="s">
        <v>305</v>
      </c>
      <c r="BC140" t="s">
        <v>305</v>
      </c>
      <c r="BE140" s="7" t="str" cm="1">
        <f t="array" ref="BE140">IF(AND(ISBLANK(AY140:BD140)),"","x")</f>
        <v>x</v>
      </c>
      <c r="CC140" s="7" t="str" cm="1">
        <f t="array" ref="CC140">IF(AND(ISBLANK(BL140:CB140)),"","x")</f>
        <v/>
      </c>
    </row>
    <row r="141" spans="1:123">
      <c r="A141" t="s">
        <v>217</v>
      </c>
      <c r="B141" t="s">
        <v>183</v>
      </c>
      <c r="C141" t="s">
        <v>184</v>
      </c>
      <c r="D141" s="22" t="s">
        <v>186</v>
      </c>
      <c r="F141" s="20" t="s">
        <v>187</v>
      </c>
      <c r="J141" s="20" t="s">
        <v>36</v>
      </c>
      <c r="L141">
        <v>2025</v>
      </c>
      <c r="M141"/>
      <c r="N141"/>
      <c r="O141"/>
      <c r="P141"/>
      <c r="Q141"/>
      <c r="AA141" s="7" t="str" cm="1">
        <f t="array" ref="AA141">IF(AND(ISBLANK(S141:Z141)),"","x")</f>
        <v/>
      </c>
      <c r="AT141" s="7" t="str" cm="1">
        <f t="array" ref="AT141">IF(AND(ISBLANK(AB141:AS141)),"","x")</f>
        <v/>
      </c>
      <c r="BE141" s="7" t="str" cm="1">
        <f t="array" ref="BE141">IF(AND(ISBLANK(AY141:BD141)),"","x")</f>
        <v/>
      </c>
      <c r="CC141" s="7" t="str" cm="1">
        <f t="array" ref="CC141">IF(AND(ISBLANK(BL141:CB141)),"","x")</f>
        <v/>
      </c>
      <c r="DO141"/>
      <c r="DP141"/>
      <c r="DQ141"/>
    </row>
    <row r="142" spans="1:123">
      <c r="A142" t="s">
        <v>217</v>
      </c>
      <c r="B142" t="s">
        <v>183</v>
      </c>
      <c r="C142" t="s">
        <v>184</v>
      </c>
      <c r="D142" s="22" t="s">
        <v>578</v>
      </c>
      <c r="E142" s="22" t="s">
        <v>906</v>
      </c>
      <c r="K142">
        <v>2022</v>
      </c>
      <c r="L142">
        <v>2022</v>
      </c>
      <c r="M142"/>
      <c r="N142"/>
      <c r="O142"/>
      <c r="P142"/>
      <c r="Q142"/>
      <c r="R142" s="4" t="s">
        <v>908</v>
      </c>
      <c r="W142" t="s">
        <v>305</v>
      </c>
      <c r="AA142" s="7" t="str" cm="1">
        <f t="array" ref="AA142">IF(AND(ISBLANK(S142:Z142)),"","x")</f>
        <v>x</v>
      </c>
      <c r="AT142" s="7" t="str" cm="1">
        <f t="array" ref="AT142">IF(AND(ISBLANK(AB142:AS142)),"","x")</f>
        <v/>
      </c>
      <c r="BE142" s="7" t="str" cm="1">
        <f t="array" ref="BE142">IF(AND(ISBLANK(AY142:BD142)),"","x")</f>
        <v/>
      </c>
      <c r="CC142" s="7" t="str" cm="1">
        <f t="array" ref="CC142">IF(AND(ISBLANK(BL142:CB142)),"","x")</f>
        <v/>
      </c>
      <c r="DO142"/>
      <c r="DP142"/>
      <c r="DQ142"/>
    </row>
    <row r="143" spans="1:123">
      <c r="A143" t="s">
        <v>217</v>
      </c>
      <c r="B143" t="s">
        <v>183</v>
      </c>
      <c r="C143" t="s">
        <v>758</v>
      </c>
      <c r="D143" s="22" t="s">
        <v>188</v>
      </c>
      <c r="F143" s="20" t="s">
        <v>11</v>
      </c>
      <c r="J143" s="20" t="s">
        <v>12</v>
      </c>
      <c r="K143">
        <v>2023</v>
      </c>
      <c r="L143">
        <v>2025</v>
      </c>
      <c r="M143" s="10" t="s">
        <v>904</v>
      </c>
      <c r="N143"/>
      <c r="O143" s="10" t="s">
        <v>905</v>
      </c>
      <c r="P143" s="10" t="s">
        <v>388</v>
      </c>
      <c r="Q143"/>
      <c r="X143" t="s">
        <v>305</v>
      </c>
      <c r="Y143" t="s">
        <v>305</v>
      </c>
      <c r="Z143" s="4" t="s">
        <v>305</v>
      </c>
      <c r="AA143" s="7" t="str" cm="1">
        <f t="array" ref="AA143">IF(AND(ISBLANK(S143:Z143)),"","x")</f>
        <v>x</v>
      </c>
      <c r="AT143" s="7" t="str" cm="1">
        <f t="array" ref="AT143">IF(AND(ISBLANK(AB143:AS143)),"","x")</f>
        <v/>
      </c>
      <c r="BE143" s="7" t="str" cm="1">
        <f t="array" ref="BE143">IF(AND(ISBLANK(AY143:BD143)),"","x")</f>
        <v/>
      </c>
      <c r="CC143" s="7" t="str" cm="1">
        <f t="array" ref="CC143">IF(AND(ISBLANK(BL143:CB143)),"","x")</f>
        <v/>
      </c>
    </row>
    <row r="144" spans="1:123">
      <c r="A144" t="s">
        <v>217</v>
      </c>
      <c r="B144" t="s">
        <v>189</v>
      </c>
      <c r="C144" t="s">
        <v>190</v>
      </c>
      <c r="D144" s="22" t="s">
        <v>578</v>
      </c>
      <c r="E144" s="22" t="s">
        <v>907</v>
      </c>
      <c r="F144" s="20" t="s">
        <v>11</v>
      </c>
      <c r="J144" s="20" t="s">
        <v>12</v>
      </c>
      <c r="K144">
        <v>2020</v>
      </c>
      <c r="L144">
        <v>2020</v>
      </c>
      <c r="M144"/>
      <c r="N144"/>
      <c r="O144"/>
      <c r="P144"/>
      <c r="Q144"/>
      <c r="R144" s="4" t="s">
        <v>908</v>
      </c>
      <c r="U144" t="s">
        <v>305</v>
      </c>
      <c r="AA144" s="7" t="str" cm="1">
        <f t="array" ref="AA144">IF(AND(ISBLANK(S144:Z144)),"","x")</f>
        <v>x</v>
      </c>
      <c r="AT144" s="7" t="str" cm="1">
        <f t="array" ref="AT144">IF(AND(ISBLANK(AB144:AS144)),"","x")</f>
        <v/>
      </c>
      <c r="BE144" s="7" t="str" cm="1">
        <f t="array" ref="BE144">IF(AND(ISBLANK(AY144:BD144)),"","x")</f>
        <v/>
      </c>
      <c r="CC144" s="7" t="str" cm="1">
        <f t="array" ref="CC144">IF(AND(ISBLANK(BL144:CB144)),"","x")</f>
        <v/>
      </c>
      <c r="DO144"/>
      <c r="DP144"/>
      <c r="DQ144"/>
    </row>
    <row r="145" spans="1:122">
      <c r="A145" t="s">
        <v>217</v>
      </c>
      <c r="B145" t="s">
        <v>191</v>
      </c>
      <c r="C145" t="s">
        <v>192</v>
      </c>
      <c r="D145" s="22" t="s">
        <v>193</v>
      </c>
      <c r="F145" s="20" t="s">
        <v>11</v>
      </c>
      <c r="J145" s="20" t="s">
        <v>12</v>
      </c>
      <c r="K145">
        <v>2014</v>
      </c>
      <c r="L145">
        <v>2025</v>
      </c>
      <c r="M145" s="10" t="s">
        <v>347</v>
      </c>
      <c r="N145" s="10" t="s">
        <v>348</v>
      </c>
      <c r="O145"/>
      <c r="P145" s="10" t="s">
        <v>350</v>
      </c>
      <c r="Q145" s="10" t="s">
        <v>349</v>
      </c>
      <c r="S145" t="s">
        <v>305</v>
      </c>
      <c r="T145" t="s">
        <v>305</v>
      </c>
      <c r="U145" t="s">
        <v>305</v>
      </c>
      <c r="X145" t="s">
        <v>305</v>
      </c>
      <c r="Y145" t="s">
        <v>305</v>
      </c>
      <c r="Z145" s="4" t="s">
        <v>305</v>
      </c>
      <c r="AA145" s="7" t="str" cm="1">
        <f t="array" ref="AA145">IF(AND(ISBLANK(S145:Z145)),"","x")</f>
        <v>x</v>
      </c>
      <c r="AT145" s="7" t="str" cm="1">
        <f t="array" ref="AT145">IF(AND(ISBLANK(AB145:AS145)),"","x")</f>
        <v/>
      </c>
      <c r="BE145" s="7" t="str" cm="1">
        <f t="array" ref="BE145">IF(AND(ISBLANK(AY145:BD145)),"","x")</f>
        <v/>
      </c>
      <c r="CC145" s="7" t="str" cm="1">
        <f t="array" ref="CC145">IF(AND(ISBLANK(BL145:CB145)),"","x")</f>
        <v/>
      </c>
    </row>
    <row r="146" spans="1:122">
      <c r="A146" t="s">
        <v>217</v>
      </c>
      <c r="B146" t="s">
        <v>879</v>
      </c>
      <c r="C146" t="s">
        <v>194</v>
      </c>
      <c r="D146" s="22" t="s">
        <v>764</v>
      </c>
      <c r="F146" s="20" t="s">
        <v>11</v>
      </c>
      <c r="J146" s="20" t="s">
        <v>12</v>
      </c>
      <c r="K146">
        <v>2014</v>
      </c>
      <c r="L146">
        <v>2025</v>
      </c>
      <c r="M146"/>
      <c r="N146"/>
      <c r="O146" s="10" t="s">
        <v>369</v>
      </c>
      <c r="P146" s="10" t="s">
        <v>370</v>
      </c>
      <c r="Q146"/>
      <c r="Y146" t="s">
        <v>305</v>
      </c>
      <c r="Z146" s="4" t="s">
        <v>305</v>
      </c>
      <c r="AA146" s="7" t="str" cm="1">
        <f t="array" ref="AA146">IF(AND(ISBLANK(S146:Z146)),"","x")</f>
        <v>x</v>
      </c>
      <c r="AT146" s="7" t="str" cm="1">
        <f t="array" ref="AT146">IF(AND(ISBLANK(AB146:AS146)),"","x")</f>
        <v/>
      </c>
      <c r="BE146" s="7" t="str" cm="1">
        <f t="array" ref="BE146">IF(AND(ISBLANK(AY146:BD146)),"","x")</f>
        <v/>
      </c>
      <c r="CC146" s="7" t="str" cm="1">
        <f t="array" ref="CC146">IF(AND(ISBLANK(BL146:CB146)),"","x")</f>
        <v/>
      </c>
    </row>
    <row r="147" spans="1:122">
      <c r="A147" t="s">
        <v>217</v>
      </c>
      <c r="B147" t="s">
        <v>195</v>
      </c>
      <c r="C147" t="s">
        <v>196</v>
      </c>
      <c r="D147" s="22" t="s">
        <v>197</v>
      </c>
      <c r="F147" s="20" t="s">
        <v>11</v>
      </c>
      <c r="J147" s="20" t="s">
        <v>12</v>
      </c>
      <c r="K147">
        <v>2019</v>
      </c>
      <c r="L147">
        <v>2025</v>
      </c>
      <c r="M147" s="10" t="s">
        <v>393</v>
      </c>
      <c r="N147" s="10" t="s">
        <v>394</v>
      </c>
      <c r="O147"/>
      <c r="P147" s="10" t="s">
        <v>396</v>
      </c>
      <c r="Q147" s="10" t="s">
        <v>395</v>
      </c>
      <c r="Z147" s="4" t="s">
        <v>305</v>
      </c>
      <c r="AA147" s="7" t="str" cm="1">
        <f t="array" ref="AA147">IF(AND(ISBLANK(S147:Z147)),"","x")</f>
        <v>x</v>
      </c>
      <c r="AT147" s="7" t="str" cm="1">
        <f t="array" ref="AT147">IF(AND(ISBLANK(AB147:AS147)),"","x")</f>
        <v/>
      </c>
      <c r="BE147" s="7" t="str" cm="1">
        <f t="array" ref="BE147">IF(AND(ISBLANK(AY147:BD147)),"","x")</f>
        <v/>
      </c>
      <c r="CC147" s="7" t="str" cm="1">
        <f t="array" ref="CC147">IF(AND(ISBLANK(BL147:CB147)),"","x")</f>
        <v/>
      </c>
    </row>
    <row r="148" spans="1:122">
      <c r="A148" t="s">
        <v>217</v>
      </c>
      <c r="B148" t="s">
        <v>195</v>
      </c>
      <c r="C148" t="s">
        <v>196</v>
      </c>
      <c r="D148" s="22" t="s">
        <v>486</v>
      </c>
      <c r="K148">
        <v>2015</v>
      </c>
      <c r="L148">
        <v>2020</v>
      </c>
      <c r="M148" s="10" t="s">
        <v>910</v>
      </c>
      <c r="N148" s="10"/>
      <c r="O148" s="10" t="s">
        <v>909</v>
      </c>
      <c r="P148" s="10"/>
      <c r="Q148" s="10"/>
      <c r="S148" t="s">
        <v>305</v>
      </c>
      <c r="T148" t="s">
        <v>305</v>
      </c>
      <c r="U148" t="s">
        <v>305</v>
      </c>
      <c r="AA148" s="7" t="str" cm="1">
        <f t="array" ref="AA148">IF(AND(ISBLANK(S148:Z148)),"","x")</f>
        <v>x</v>
      </c>
      <c r="AT148" s="7" t="str" cm="1">
        <f t="array" ref="AT148">IF(AND(ISBLANK(AB148:AS148)),"","x")</f>
        <v/>
      </c>
      <c r="BE148" s="7" t="str" cm="1">
        <f t="array" ref="BE148">IF(AND(ISBLANK(AY148:BD148)),"","x")</f>
        <v/>
      </c>
      <c r="CC148" s="7" t="str" cm="1">
        <f t="array" ref="CC148">IF(AND(ISBLANK(BL148:CB148)),"","x")</f>
        <v/>
      </c>
    </row>
    <row r="149" spans="1:122">
      <c r="A149" t="s">
        <v>217</v>
      </c>
      <c r="B149" t="s">
        <v>198</v>
      </c>
      <c r="C149" t="s">
        <v>199</v>
      </c>
      <c r="D149" s="22" t="s">
        <v>200</v>
      </c>
      <c r="F149" s="20" t="s">
        <v>11</v>
      </c>
      <c r="J149" s="20" t="s">
        <v>12</v>
      </c>
      <c r="K149">
        <v>2024</v>
      </c>
      <c r="L149">
        <v>2025</v>
      </c>
      <c r="M149"/>
      <c r="N149"/>
      <c r="O149" s="10" t="s">
        <v>426</v>
      </c>
      <c r="P149"/>
      <c r="Q149" s="10" t="s">
        <v>427</v>
      </c>
      <c r="Y149" t="s">
        <v>305</v>
      </c>
      <c r="Z149" s="4" t="s">
        <v>305</v>
      </c>
      <c r="AA149" s="7" t="str" cm="1">
        <f t="array" ref="AA149">IF(AND(ISBLANK(S149:Z149)),"","x")</f>
        <v>x</v>
      </c>
      <c r="AT149" s="7" t="str" cm="1">
        <f t="array" ref="AT149">IF(AND(ISBLANK(AB149:AS149)),"","x")</f>
        <v/>
      </c>
      <c r="BE149" s="7" t="str" cm="1">
        <f t="array" ref="BE149">IF(AND(ISBLANK(AY149:BD149)),"","x")</f>
        <v/>
      </c>
      <c r="CC149" s="7" t="str" cm="1">
        <f t="array" ref="CC149">IF(AND(ISBLANK(BL149:CB149)),"","x")</f>
        <v/>
      </c>
      <c r="DO149"/>
      <c r="DP149"/>
      <c r="DQ149"/>
    </row>
    <row r="150" spans="1:122">
      <c r="A150" t="s">
        <v>217</v>
      </c>
      <c r="B150" t="s">
        <v>198</v>
      </c>
      <c r="C150" t="s">
        <v>199</v>
      </c>
      <c r="D150" s="22" t="s">
        <v>1010</v>
      </c>
      <c r="K150">
        <v>2017</v>
      </c>
      <c r="L150">
        <v>2025</v>
      </c>
      <c r="M150" s="10" t="s">
        <v>1011</v>
      </c>
      <c r="N150"/>
      <c r="O150" s="10"/>
      <c r="P150" s="10" t="s">
        <v>1012</v>
      </c>
      <c r="Q150" s="10" t="s">
        <v>1013</v>
      </c>
      <c r="BA150" t="s">
        <v>305</v>
      </c>
      <c r="BB150" t="s">
        <v>305</v>
      </c>
      <c r="BE150" s="7" t="str" cm="1">
        <f t="array" ref="BE150">IF(AND(ISBLANK(AY150:BD150)),"","x")</f>
        <v>x</v>
      </c>
      <c r="DO150"/>
      <c r="DP150"/>
      <c r="DQ150"/>
    </row>
    <row r="151" spans="1:122">
      <c r="A151" t="s">
        <v>217</v>
      </c>
      <c r="B151" t="s">
        <v>201</v>
      </c>
      <c r="C151" t="s">
        <v>202</v>
      </c>
      <c r="D151" s="22" t="s">
        <v>203</v>
      </c>
      <c r="F151" s="20" t="s">
        <v>11</v>
      </c>
      <c r="J151" s="20" t="s">
        <v>12</v>
      </c>
      <c r="K151">
        <v>2011</v>
      </c>
      <c r="L151">
        <v>2024</v>
      </c>
      <c r="M151" s="10" t="s">
        <v>448</v>
      </c>
      <c r="N151"/>
      <c r="O151"/>
      <c r="P151" s="10" t="s">
        <v>450</v>
      </c>
      <c r="Q151" s="10" t="s">
        <v>449</v>
      </c>
      <c r="S151" t="s">
        <v>305</v>
      </c>
      <c r="U151" t="s">
        <v>305</v>
      </c>
      <c r="W151" t="s">
        <v>305</v>
      </c>
      <c r="X151" t="s">
        <v>305</v>
      </c>
      <c r="Y151" t="s">
        <v>305</v>
      </c>
      <c r="AA151" s="7" t="str" cm="1">
        <f t="array" ref="AA151">IF(AND(ISBLANK(S151:Z151)),"","x")</f>
        <v>x</v>
      </c>
      <c r="AT151" s="7" t="str" cm="1">
        <f t="array" ref="AT151">IF(AND(ISBLANK(AB151:AS151)),"","x")</f>
        <v/>
      </c>
      <c r="BE151" s="7" t="str" cm="1">
        <f t="array" ref="BE151">IF(AND(ISBLANK(AY151:BD151)),"","x")</f>
        <v/>
      </c>
      <c r="CC151" s="7" t="str" cm="1">
        <f t="array" ref="CC151">IF(AND(ISBLANK(BL151:CB151)),"","x")</f>
        <v/>
      </c>
      <c r="DO151"/>
      <c r="DP151"/>
      <c r="DQ151"/>
    </row>
    <row r="152" spans="1:122">
      <c r="A152" t="s">
        <v>217</v>
      </c>
      <c r="B152" t="s">
        <v>204</v>
      </c>
      <c r="C152" t="s">
        <v>205</v>
      </c>
      <c r="D152" s="22" t="s">
        <v>206</v>
      </c>
      <c r="F152" s="20" t="s">
        <v>11</v>
      </c>
      <c r="J152" s="20" t="s">
        <v>12</v>
      </c>
      <c r="K152">
        <v>2023</v>
      </c>
      <c r="L152">
        <v>2023</v>
      </c>
      <c r="M152" s="10" t="s">
        <v>913</v>
      </c>
      <c r="N152"/>
      <c r="O152" s="10" t="s">
        <v>464</v>
      </c>
      <c r="P152"/>
      <c r="Q152"/>
      <c r="X152" t="s">
        <v>305</v>
      </c>
      <c r="AA152" s="7" t="str" cm="1">
        <f t="array" ref="AA152">IF(AND(ISBLANK(S152:Z152)),"","x")</f>
        <v>x</v>
      </c>
      <c r="AT152" s="7" t="str" cm="1">
        <f t="array" ref="AT152">IF(AND(ISBLANK(AB152:AS152)),"","x")</f>
        <v/>
      </c>
      <c r="BE152" s="7" t="str" cm="1">
        <f t="array" ref="BE152">IF(AND(ISBLANK(AY152:BD152)),"","x")</f>
        <v/>
      </c>
      <c r="CC152" s="7" t="str" cm="1">
        <f t="array" ref="CC152">IF(AND(ISBLANK(BL152:CB152)),"","x")</f>
        <v/>
      </c>
      <c r="DO152"/>
      <c r="DP152"/>
      <c r="DQ152"/>
    </row>
    <row r="153" spans="1:122">
      <c r="A153" t="s">
        <v>217</v>
      </c>
      <c r="B153" t="s">
        <v>482</v>
      </c>
      <c r="C153" t="s">
        <v>483</v>
      </c>
      <c r="D153" s="22" t="s">
        <v>484</v>
      </c>
      <c r="K153">
        <v>2013</v>
      </c>
      <c r="L153">
        <v>2025</v>
      </c>
      <c r="M153" s="10" t="s">
        <v>911</v>
      </c>
      <c r="N153"/>
      <c r="O153" s="10"/>
      <c r="P153"/>
      <c r="Q153" s="10" t="s">
        <v>912</v>
      </c>
      <c r="U153" t="s">
        <v>305</v>
      </c>
      <c r="AA153" s="7" t="str" cm="1">
        <f t="array" ref="AA153">IF(AND(ISBLANK(S153:Z153)),"","x")</f>
        <v>x</v>
      </c>
      <c r="AT153" s="7" t="str" cm="1">
        <f t="array" ref="AT153">IF(AND(ISBLANK(AB153:AS153)),"","x")</f>
        <v/>
      </c>
      <c r="BE153" s="7" t="str" cm="1">
        <f t="array" ref="BE153">IF(AND(ISBLANK(AY153:BD153)),"","x")</f>
        <v/>
      </c>
      <c r="CC153" s="7" t="str" cm="1">
        <f t="array" ref="CC153">IF(AND(ISBLANK(BL153:CB153)),"","x")</f>
        <v/>
      </c>
      <c r="DO153"/>
      <c r="DP153"/>
      <c r="DQ153"/>
    </row>
    <row r="154" spans="1:122">
      <c r="A154" t="s">
        <v>217</v>
      </c>
      <c r="B154" t="s">
        <v>207</v>
      </c>
      <c r="C154" t="s">
        <v>208</v>
      </c>
      <c r="D154" s="22" t="s">
        <v>760</v>
      </c>
      <c r="E154" t="s">
        <v>773</v>
      </c>
      <c r="F154" s="20" t="s">
        <v>11</v>
      </c>
      <c r="J154" s="20" t="s">
        <v>12</v>
      </c>
      <c r="K154">
        <v>2005</v>
      </c>
      <c r="L154">
        <v>2025</v>
      </c>
      <c r="M154" s="10" t="s">
        <v>344</v>
      </c>
      <c r="N154"/>
      <c r="O154" s="10" t="s">
        <v>731</v>
      </c>
      <c r="P154" s="10" t="s">
        <v>346</v>
      </c>
      <c r="Q154" s="10" t="s">
        <v>345</v>
      </c>
      <c r="S154" t="s">
        <v>305</v>
      </c>
      <c r="T154" t="s">
        <v>305</v>
      </c>
      <c r="U154" t="s">
        <v>305</v>
      </c>
      <c r="V154" t="s">
        <v>305</v>
      </c>
      <c r="W154" t="s">
        <v>305</v>
      </c>
      <c r="X154" t="s">
        <v>305</v>
      </c>
      <c r="Y154" t="s">
        <v>305</v>
      </c>
      <c r="Z154" s="4" t="s">
        <v>305</v>
      </c>
      <c r="AA154" s="7" t="str" cm="1">
        <f t="array" ref="AA154">IF(AND(ISBLANK(S154:Z154)),"","x")</f>
        <v>x</v>
      </c>
      <c r="AB154" s="32" t="s">
        <v>769</v>
      </c>
      <c r="AC154" s="8" t="s">
        <v>305</v>
      </c>
      <c r="AD154" s="8" t="s">
        <v>305</v>
      </c>
      <c r="AE154" s="8" t="s">
        <v>305</v>
      </c>
      <c r="AF154" s="8" t="s">
        <v>932</v>
      </c>
      <c r="AT154" s="7" t="str" cm="1">
        <f t="array" ref="AT154">IF(AND(ISBLANK(AB154:AS154)),"","x")</f>
        <v>x</v>
      </c>
      <c r="BD154" s="4" t="s">
        <v>305</v>
      </c>
      <c r="BE154" s="7" t="str" cm="1">
        <f t="array" ref="BE154">IF(AND(ISBLANK(AY154:BD154)),"","x")</f>
        <v>x</v>
      </c>
      <c r="BT154" t="s">
        <v>305</v>
      </c>
      <c r="BV154" t="s">
        <v>305</v>
      </c>
      <c r="BZ154" t="s">
        <v>305</v>
      </c>
      <c r="CA154" t="s">
        <v>305</v>
      </c>
      <c r="CC154" s="7" t="str" cm="1">
        <f t="array" ref="CC154">IF(AND(ISBLANK(BL154:CB154)),"","x")</f>
        <v>x</v>
      </c>
      <c r="DO154" s="7" t="s">
        <v>305</v>
      </c>
      <c r="DP154" t="s">
        <v>305</v>
      </c>
      <c r="DQ154" t="s">
        <v>305</v>
      </c>
      <c r="DR154" t="s">
        <v>305</v>
      </c>
    </row>
    <row r="155" spans="1:122">
      <c r="A155" t="s">
        <v>217</v>
      </c>
      <c r="B155" t="s">
        <v>207</v>
      </c>
      <c r="C155" t="s">
        <v>208</v>
      </c>
      <c r="D155" s="22" t="s">
        <v>209</v>
      </c>
      <c r="F155" s="20" t="s">
        <v>11</v>
      </c>
      <c r="J155" s="20" t="s">
        <v>12</v>
      </c>
      <c r="K155">
        <v>2015</v>
      </c>
      <c r="L155">
        <v>2025</v>
      </c>
      <c r="M155"/>
      <c r="N155"/>
      <c r="O155" s="10" t="s">
        <v>389</v>
      </c>
      <c r="P155"/>
      <c r="Q155"/>
      <c r="U155" t="s">
        <v>305</v>
      </c>
      <c r="W155" t="s">
        <v>305</v>
      </c>
      <c r="X155" t="s">
        <v>305</v>
      </c>
      <c r="Y155" t="s">
        <v>305</v>
      </c>
      <c r="Z155" s="4" t="s">
        <v>305</v>
      </c>
      <c r="AA155" s="7" t="str" cm="1">
        <f t="array" ref="AA155">IF(AND(ISBLANK(S155:Z155)),"","x")</f>
        <v>x</v>
      </c>
      <c r="AT155" s="7" t="str" cm="1">
        <f t="array" ref="AT155">IF(AND(ISBLANK(AB155:AS155)),"","x")</f>
        <v/>
      </c>
      <c r="BE155" s="7" t="str" cm="1">
        <f t="array" ref="BE155">IF(AND(ISBLANK(AY155:BD155)),"","x")</f>
        <v/>
      </c>
      <c r="CC155" s="7" t="str" cm="1">
        <f t="array" ref="CC155">IF(AND(ISBLANK(BL155:CB155)),"","x")</f>
        <v/>
      </c>
    </row>
    <row r="156" spans="1:122">
      <c r="A156" t="s">
        <v>217</v>
      </c>
      <c r="B156" t="s">
        <v>207</v>
      </c>
      <c r="C156" t="s">
        <v>208</v>
      </c>
      <c r="D156" s="22" t="s">
        <v>212</v>
      </c>
      <c r="F156" s="20" t="s">
        <v>11</v>
      </c>
      <c r="J156" s="20" t="s">
        <v>12</v>
      </c>
      <c r="K156">
        <v>2017</v>
      </c>
      <c r="L156">
        <v>2025</v>
      </c>
      <c r="M156" s="10" t="s">
        <v>341</v>
      </c>
      <c r="N156"/>
      <c r="O156"/>
      <c r="P156" s="10" t="s">
        <v>343</v>
      </c>
      <c r="Q156" s="10" t="s">
        <v>342</v>
      </c>
      <c r="S156" t="s">
        <v>305</v>
      </c>
      <c r="T156" t="s">
        <v>305</v>
      </c>
      <c r="U156" t="s">
        <v>305</v>
      </c>
      <c r="V156" t="s">
        <v>305</v>
      </c>
      <c r="W156" t="s">
        <v>305</v>
      </c>
      <c r="X156" t="s">
        <v>305</v>
      </c>
      <c r="Y156" t="s">
        <v>305</v>
      </c>
      <c r="Z156" s="4" t="s">
        <v>305</v>
      </c>
      <c r="AA156" s="7" t="str" cm="1">
        <f t="array" ref="AA156">IF(AND(ISBLANK(S156:Z156)),"","x")</f>
        <v>x</v>
      </c>
      <c r="AT156" s="7" t="str" cm="1">
        <f t="array" ref="AT156">IF(AND(ISBLANK(AB156:AS156)),"","x")</f>
        <v/>
      </c>
      <c r="BE156" s="7" t="str" cm="1">
        <f t="array" ref="BE156">IF(AND(ISBLANK(AY156:BD156)),"","x")</f>
        <v/>
      </c>
      <c r="CC156" s="7" t="str" cm="1">
        <f t="array" ref="CC156">IF(AND(ISBLANK(BL156:CB156)),"","x")</f>
        <v/>
      </c>
    </row>
    <row r="157" spans="1:122">
      <c r="A157" t="s">
        <v>217</v>
      </c>
      <c r="B157" t="s">
        <v>207</v>
      </c>
      <c r="C157" t="s">
        <v>210</v>
      </c>
      <c r="D157" s="22" t="s">
        <v>211</v>
      </c>
      <c r="F157" s="20" t="s">
        <v>11</v>
      </c>
      <c r="J157" s="20" t="s">
        <v>12</v>
      </c>
      <c r="K157">
        <v>2025</v>
      </c>
      <c r="L157">
        <v>2025</v>
      </c>
      <c r="M157"/>
      <c r="N157"/>
      <c r="O157"/>
      <c r="P157" s="10" t="s">
        <v>401</v>
      </c>
      <c r="Q157"/>
      <c r="Z157" s="4" t="s">
        <v>305</v>
      </c>
      <c r="AA157" s="7" t="str" cm="1">
        <f t="array" ref="AA157">IF(AND(ISBLANK(S157:Z157)),"","x")</f>
        <v>x</v>
      </c>
      <c r="AT157" s="7" t="str" cm="1">
        <f t="array" ref="AT157">IF(AND(ISBLANK(AB157:AS157)),"","x")</f>
        <v/>
      </c>
      <c r="BE157" s="7" t="str" cm="1">
        <f t="array" ref="BE157">IF(AND(ISBLANK(AY157:BD157)),"","x")</f>
        <v/>
      </c>
      <c r="CC157" s="7" t="str" cm="1">
        <f t="array" ref="CC157">IF(AND(ISBLANK(BL157:CB157)),"","x")</f>
        <v/>
      </c>
    </row>
    <row r="158" spans="1:122">
      <c r="A158" t="s">
        <v>217</v>
      </c>
      <c r="B158" t="s">
        <v>207</v>
      </c>
      <c r="C158" t="s">
        <v>210</v>
      </c>
      <c r="D158" s="22" t="s">
        <v>485</v>
      </c>
      <c r="K158">
        <v>2018</v>
      </c>
      <c r="L158">
        <v>2022</v>
      </c>
      <c r="M158"/>
      <c r="N158"/>
      <c r="O158" s="10" t="s">
        <v>914</v>
      </c>
      <c r="P158" s="10"/>
      <c r="Q158"/>
      <c r="S158" t="s">
        <v>305</v>
      </c>
      <c r="U158" t="s">
        <v>305</v>
      </c>
      <c r="W158" t="s">
        <v>305</v>
      </c>
      <c r="AA158" s="7" t="str" cm="1">
        <f t="array" ref="AA158">IF(AND(ISBLANK(S158:Z158)),"","x")</f>
        <v>x</v>
      </c>
      <c r="AT158" s="7" t="str" cm="1">
        <f t="array" ref="AT158">IF(AND(ISBLANK(AB158:AS158)),"","x")</f>
        <v/>
      </c>
      <c r="BE158" s="7" t="str" cm="1">
        <f t="array" ref="BE158">IF(AND(ISBLANK(AY158:BD158)),"","x")</f>
        <v/>
      </c>
      <c r="CC158" s="7" t="str" cm="1">
        <f t="array" ref="CC158">IF(AND(ISBLANK(BL158:CB158)),"","x")</f>
        <v/>
      </c>
    </row>
    <row r="159" spans="1:122">
      <c r="A159" t="s">
        <v>217</v>
      </c>
      <c r="B159" t="s">
        <v>213</v>
      </c>
      <c r="C159" t="s">
        <v>214</v>
      </c>
      <c r="D159" s="22" t="s">
        <v>215</v>
      </c>
      <c r="F159" s="20" t="s">
        <v>11</v>
      </c>
      <c r="J159" s="20" t="s">
        <v>12</v>
      </c>
      <c r="K159">
        <v>2003</v>
      </c>
      <c r="L159">
        <v>2025</v>
      </c>
      <c r="M159" s="10" t="s">
        <v>390</v>
      </c>
      <c r="N159"/>
      <c r="O159"/>
      <c r="P159" s="10" t="s">
        <v>392</v>
      </c>
      <c r="Q159" s="10" t="s">
        <v>391</v>
      </c>
      <c r="Z159" s="4" t="s">
        <v>305</v>
      </c>
      <c r="AA159" s="7" t="str" cm="1">
        <f t="array" ref="AA159">IF(AND(ISBLANK(S159:Z159)),"","x")</f>
        <v>x</v>
      </c>
      <c r="AT159" s="7" t="str" cm="1">
        <f t="array" ref="AT159">IF(AND(ISBLANK(AB159:AS159)),"","x")</f>
        <v/>
      </c>
      <c r="BE159" s="7" t="str" cm="1">
        <f t="array" ref="BE159">IF(AND(ISBLANK(AY159:BD159)),"","x")</f>
        <v/>
      </c>
      <c r="CC159" s="7" t="str" cm="1">
        <f t="array" ref="CC159">IF(AND(ISBLANK(BL159:CB159)),"","x")</f>
        <v/>
      </c>
    </row>
    <row r="160" spans="1:122">
      <c r="A160" t="s">
        <v>217</v>
      </c>
      <c r="B160" t="s">
        <v>213</v>
      </c>
      <c r="C160" t="s">
        <v>214</v>
      </c>
      <c r="D160" s="22" t="s">
        <v>216</v>
      </c>
      <c r="F160" s="20" t="s">
        <v>11</v>
      </c>
      <c r="J160" s="20" t="s">
        <v>12</v>
      </c>
      <c r="K160">
        <v>2006</v>
      </c>
      <c r="L160">
        <v>2025</v>
      </c>
      <c r="M160" s="10" t="s">
        <v>398</v>
      </c>
      <c r="N160"/>
      <c r="O160"/>
      <c r="P160" s="10" t="s">
        <v>400</v>
      </c>
      <c r="Q160" s="10" t="s">
        <v>399</v>
      </c>
      <c r="S160" t="s">
        <v>305</v>
      </c>
      <c r="T160" t="s">
        <v>305</v>
      </c>
      <c r="W160" t="s">
        <v>305</v>
      </c>
      <c r="X160" t="s">
        <v>305</v>
      </c>
      <c r="Y160" t="s">
        <v>305</v>
      </c>
      <c r="Z160" s="4" t="s">
        <v>305</v>
      </c>
      <c r="AA160" s="7" t="str" cm="1">
        <f t="array" ref="AA160">IF(AND(ISBLANK(S160:Z160)),"","x")</f>
        <v>x</v>
      </c>
      <c r="AT160" s="7" t="str" cm="1">
        <f t="array" ref="AT160">IF(AND(ISBLANK(AB160:AS160)),"","x")</f>
        <v/>
      </c>
      <c r="BE160" s="7" t="str" cm="1">
        <f t="array" ref="BE160">IF(AND(ISBLANK(AY160:BD160)),"","x")</f>
        <v/>
      </c>
      <c r="CC160" s="7" t="str" cm="1">
        <f t="array" ref="CC160">IF(AND(ISBLANK(BL160:CB160)),"","x")</f>
        <v/>
      </c>
    </row>
    <row r="161" spans="1:122">
      <c r="A161" t="s">
        <v>217</v>
      </c>
      <c r="B161" t="s">
        <v>213</v>
      </c>
      <c r="C161" t="s">
        <v>214</v>
      </c>
      <c r="D161" s="22" t="s">
        <v>481</v>
      </c>
      <c r="K161">
        <v>2016</v>
      </c>
      <c r="L161">
        <v>2020</v>
      </c>
      <c r="M161" s="10"/>
      <c r="N161"/>
      <c r="O161" s="10" t="s">
        <v>915</v>
      </c>
      <c r="P161" s="10"/>
      <c r="Q161" s="10"/>
      <c r="S161" t="s">
        <v>305</v>
      </c>
      <c r="T161" t="s">
        <v>305</v>
      </c>
      <c r="U161" t="s">
        <v>305</v>
      </c>
      <c r="AA161" s="7" t="str" cm="1">
        <f t="array" ref="AA161">IF(AND(ISBLANK(S161:Z161)),"","x")</f>
        <v>x</v>
      </c>
      <c r="AT161" s="7" t="str" cm="1">
        <f t="array" ref="AT161">IF(AND(ISBLANK(AB161:AS161)),"","x")</f>
        <v/>
      </c>
      <c r="BE161" s="7" t="str" cm="1">
        <f t="array" ref="BE161">IF(AND(ISBLANK(AY161:BD161)),"","x")</f>
        <v/>
      </c>
      <c r="CC161" s="7" t="str" cm="1">
        <f t="array" ref="CC161">IF(AND(ISBLANK(BL161:CB161)),"","x")</f>
        <v/>
      </c>
    </row>
    <row r="162" spans="1:122">
      <c r="A162" t="s">
        <v>217</v>
      </c>
      <c r="B162" t="s">
        <v>213</v>
      </c>
      <c r="C162" t="s">
        <v>214</v>
      </c>
      <c r="D162" s="22" t="s">
        <v>656</v>
      </c>
      <c r="E162" t="s">
        <v>987</v>
      </c>
      <c r="K162">
        <v>2017</v>
      </c>
      <c r="L162">
        <v>2025</v>
      </c>
      <c r="M162" s="10"/>
      <c r="N162"/>
      <c r="O162"/>
      <c r="P162" s="10"/>
      <c r="Q162" s="10"/>
      <c r="AA162" s="7" t="str" cm="1">
        <f t="array" ref="AA162">IF(AND(ISBLANK(S162:Z162)),"","x")</f>
        <v/>
      </c>
      <c r="AT162" s="7" t="str" cm="1">
        <f t="array" ref="AT162">IF(AND(ISBLANK(AB162:AS162)),"","x")</f>
        <v/>
      </c>
      <c r="AZ162" t="s">
        <v>305</v>
      </c>
      <c r="BA162" t="s">
        <v>305</v>
      </c>
      <c r="BC162" t="s">
        <v>305</v>
      </c>
      <c r="BD162" s="4" t="s">
        <v>305</v>
      </c>
      <c r="BE162" s="7" t="str" cm="1">
        <f t="array" ref="BE162">IF(AND(ISBLANK(AY162:BD162)),"","x")</f>
        <v>x</v>
      </c>
      <c r="CC162" s="7" t="str" cm="1">
        <f t="array" ref="CC162">IF(AND(ISBLANK(BL162:CB162)),"","x")</f>
        <v/>
      </c>
      <c r="DR162" t="s">
        <v>305</v>
      </c>
    </row>
    <row r="163" spans="1:122">
      <c r="A163" t="s">
        <v>217</v>
      </c>
      <c r="B163" t="s">
        <v>213</v>
      </c>
      <c r="C163" t="s">
        <v>214</v>
      </c>
      <c r="D163" s="22" t="s">
        <v>578</v>
      </c>
      <c r="E163" s="22" t="s">
        <v>657</v>
      </c>
      <c r="F163" s="20" t="s">
        <v>11</v>
      </c>
      <c r="J163" s="20" t="s">
        <v>15</v>
      </c>
      <c r="K163">
        <v>2014</v>
      </c>
      <c r="L163">
        <v>2019</v>
      </c>
      <c r="O163" s="27" t="s">
        <v>610</v>
      </c>
      <c r="P163" s="27" t="s">
        <v>609</v>
      </c>
      <c r="AA163" s="7" t="str" cm="1">
        <f t="array" ref="AA163">IF(AND(ISBLANK(S163:Z163)),"","x")</f>
        <v/>
      </c>
      <c r="AT163" s="7" t="str" cm="1">
        <f t="array" ref="AT163">IF(AND(ISBLANK(AB163:AS163)),"","x")</f>
        <v/>
      </c>
      <c r="BE163" s="7" t="str" cm="1">
        <f t="array" ref="BE163">IF(AND(ISBLANK(AY163:BD163)),"","x")</f>
        <v/>
      </c>
      <c r="BS163" t="s">
        <v>305</v>
      </c>
      <c r="BU163" t="s">
        <v>305</v>
      </c>
      <c r="BW163" t="s">
        <v>305</v>
      </c>
      <c r="CC163" s="7" t="str" cm="1">
        <f t="array" ref="CC163">IF(AND(ISBLANK(BL163:CB163)),"","x")</f>
        <v>x</v>
      </c>
      <c r="DO163"/>
      <c r="DP163"/>
      <c r="DQ163"/>
    </row>
    <row r="164" spans="1:122">
      <c r="A164" t="s">
        <v>232</v>
      </c>
      <c r="B164" t="s">
        <v>218</v>
      </c>
      <c r="C164" t="s">
        <v>219</v>
      </c>
      <c r="D164" s="22" t="s">
        <v>220</v>
      </c>
      <c r="F164" s="20" t="s">
        <v>11</v>
      </c>
      <c r="J164" s="20" t="s">
        <v>12</v>
      </c>
      <c r="K164">
        <v>2023</v>
      </c>
      <c r="L164">
        <v>2025</v>
      </c>
      <c r="M164" s="10" t="s">
        <v>425</v>
      </c>
      <c r="N164"/>
      <c r="O164"/>
      <c r="P164"/>
      <c r="Q164" s="10" t="s">
        <v>314</v>
      </c>
      <c r="X164" t="s">
        <v>305</v>
      </c>
      <c r="Y164" t="s">
        <v>305</v>
      </c>
      <c r="Z164" s="4" t="s">
        <v>305</v>
      </c>
      <c r="AA164" s="7" t="str" cm="1">
        <f t="array" ref="AA164">IF(AND(ISBLANK(S164:Z164)),"","x")</f>
        <v>x</v>
      </c>
      <c r="AT164" s="7" t="str" cm="1">
        <f t="array" ref="AT164">IF(AND(ISBLANK(AB164:AS164)),"","x")</f>
        <v/>
      </c>
      <c r="BE164" s="7" t="str" cm="1">
        <f t="array" ref="BE164">IF(AND(ISBLANK(AY164:BD164)),"","x")</f>
        <v/>
      </c>
      <c r="CC164" s="7" t="str" cm="1">
        <f t="array" ref="CC164">IF(AND(ISBLANK(BL164:CB164)),"","x")</f>
        <v/>
      </c>
    </row>
    <row r="165" spans="1:122">
      <c r="A165" t="s">
        <v>232</v>
      </c>
      <c r="B165" t="s">
        <v>218</v>
      </c>
      <c r="C165" t="s">
        <v>219</v>
      </c>
      <c r="D165" s="22" t="s">
        <v>503</v>
      </c>
      <c r="E165" t="s">
        <v>838</v>
      </c>
      <c r="K165">
        <v>2000</v>
      </c>
      <c r="L165">
        <v>2025</v>
      </c>
      <c r="M165" s="10" t="s">
        <v>504</v>
      </c>
      <c r="N165"/>
      <c r="O165"/>
      <c r="P165"/>
      <c r="Q165" s="10"/>
      <c r="AA165" s="7" t="str" cm="1">
        <f t="array" ref="AA165">IF(AND(ISBLANK(S165:Z165)),"","x")</f>
        <v/>
      </c>
      <c r="AG165" t="s">
        <v>769</v>
      </c>
      <c r="AH165" t="s">
        <v>305</v>
      </c>
      <c r="AI165" t="s">
        <v>305</v>
      </c>
      <c r="AJ165" t="s">
        <v>932</v>
      </c>
      <c r="AT165" s="7" t="str" cm="1">
        <f t="array" ref="AT165">IF(AND(ISBLANK(AB165:AS165)),"","x")</f>
        <v>x</v>
      </c>
      <c r="BE165" s="7" t="str" cm="1">
        <f t="array" ref="BE165">IF(AND(ISBLANK(AY165:BD165)),"","x")</f>
        <v/>
      </c>
      <c r="CC165" s="7" t="str" cm="1">
        <f t="array" ref="CC165">IF(AND(ISBLANK(BL165:CB165)),"","x")</f>
        <v/>
      </c>
      <c r="DO165" s="7" t="s">
        <v>305</v>
      </c>
    </row>
    <row r="166" spans="1:122">
      <c r="A166" t="s">
        <v>232</v>
      </c>
      <c r="B166" t="s">
        <v>934</v>
      </c>
      <c r="C166" t="s">
        <v>935</v>
      </c>
      <c r="D166" s="22" t="s">
        <v>940</v>
      </c>
      <c r="E166" t="s">
        <v>940</v>
      </c>
      <c r="K166">
        <v>2016</v>
      </c>
      <c r="L166">
        <v>2025</v>
      </c>
      <c r="M166" s="10" t="s">
        <v>936</v>
      </c>
      <c r="N166"/>
      <c r="O166" s="10" t="s">
        <v>937</v>
      </c>
      <c r="P166" s="10" t="s">
        <v>938</v>
      </c>
      <c r="Q166" s="10" t="s">
        <v>939</v>
      </c>
      <c r="AY166" t="s">
        <v>305</v>
      </c>
      <c r="AZ166" t="s">
        <v>305</v>
      </c>
      <c r="BD166" s="4" t="s">
        <v>305</v>
      </c>
      <c r="BE166" s="7" t="str" cm="1">
        <f t="array" ref="BE166">IF(AND(ISBLANK(AY166:BD166)),"","x")</f>
        <v>x</v>
      </c>
    </row>
    <row r="167" spans="1:122">
      <c r="A167" t="s">
        <v>232</v>
      </c>
      <c r="B167" t="s">
        <v>881</v>
      </c>
      <c r="C167" t="s">
        <v>224</v>
      </c>
      <c r="D167" s="22" t="s">
        <v>739</v>
      </c>
      <c r="E167" s="22" t="s">
        <v>225</v>
      </c>
      <c r="F167" s="20" t="s">
        <v>14</v>
      </c>
      <c r="J167" s="20" t="s">
        <v>44</v>
      </c>
      <c r="K167">
        <v>2020</v>
      </c>
      <c r="L167">
        <v>2025</v>
      </c>
      <c r="M167" s="10" t="s">
        <v>742</v>
      </c>
      <c r="N167"/>
      <c r="O167"/>
      <c r="P167" s="10" t="s">
        <v>740</v>
      </c>
      <c r="Q167" s="10" t="s">
        <v>741</v>
      </c>
      <c r="AA167" s="7" t="str" cm="1">
        <f t="array" ref="AA167">IF(AND(ISBLANK(S167:Z167)),"","x")</f>
        <v/>
      </c>
      <c r="AT167" s="7" t="str" cm="1">
        <f t="array" ref="AT167">IF(AND(ISBLANK(AB167:AS167)),"","x")</f>
        <v/>
      </c>
      <c r="BE167" s="7" t="str" cm="1">
        <f t="array" ref="BE167">IF(AND(ISBLANK(AY167:BD167)),"","x")</f>
        <v/>
      </c>
      <c r="CA167" t="s">
        <v>305</v>
      </c>
      <c r="CC167" s="7" t="str" cm="1">
        <f t="array" ref="CC167">IF(AND(ISBLANK(BL167:CB167)),"","x")</f>
        <v>x</v>
      </c>
      <c r="DO167" t="s">
        <v>305</v>
      </c>
      <c r="DP167"/>
      <c r="DQ167"/>
    </row>
    <row r="168" spans="1:122">
      <c r="A168" t="s">
        <v>232</v>
      </c>
      <c r="B168" t="s">
        <v>881</v>
      </c>
      <c r="C168" t="s">
        <v>224</v>
      </c>
      <c r="D168" s="22" t="s">
        <v>1040</v>
      </c>
      <c r="E168" s="22"/>
      <c r="K168">
        <v>2019</v>
      </c>
      <c r="L168">
        <v>2025</v>
      </c>
      <c r="M168" s="10" t="s">
        <v>1041</v>
      </c>
      <c r="N168"/>
      <c r="O168"/>
      <c r="P168" s="10"/>
      <c r="Q168" s="10"/>
      <c r="BC168" t="s">
        <v>305</v>
      </c>
      <c r="BE168" s="7" t="str" cm="1">
        <f t="array" ref="BE168">IF(AND(ISBLANK(AY168:BD168)),"","x")</f>
        <v>x</v>
      </c>
      <c r="DO168"/>
      <c r="DP168"/>
      <c r="DQ168"/>
    </row>
    <row r="169" spans="1:122">
      <c r="A169" t="s">
        <v>233</v>
      </c>
      <c r="B169" t="s">
        <v>878</v>
      </c>
      <c r="C169" t="s">
        <v>221</v>
      </c>
      <c r="D169" s="35" t="s">
        <v>836</v>
      </c>
      <c r="E169" s="22" t="s">
        <v>837</v>
      </c>
      <c r="F169" s="20" t="s">
        <v>35</v>
      </c>
      <c r="J169" s="20" t="s">
        <v>36</v>
      </c>
      <c r="K169">
        <v>2010</v>
      </c>
      <c r="L169">
        <v>2025</v>
      </c>
      <c r="M169" s="10" t="s">
        <v>835</v>
      </c>
      <c r="N169"/>
      <c r="O169"/>
      <c r="P169" s="10" t="s">
        <v>833</v>
      </c>
      <c r="Q169" s="10" t="s">
        <v>834</v>
      </c>
      <c r="AA169" s="7" t="str" cm="1">
        <f t="array" ref="AA169">IF(AND(ISBLANK(S169:Z169)),"","x")</f>
        <v/>
      </c>
      <c r="AQ169" t="s">
        <v>769</v>
      </c>
      <c r="AT169" s="7" t="str" cm="1">
        <f t="array" ref="AT169">IF(AND(ISBLANK(AB169:AS169)),"","x")</f>
        <v>x</v>
      </c>
      <c r="BE169" s="7" t="str" cm="1">
        <f t="array" ref="BE169">IF(AND(ISBLANK(AY169:BD169)),"","x")</f>
        <v/>
      </c>
      <c r="CC169" s="7" t="str" cm="1">
        <f t="array" ref="CC169">IF(AND(ISBLANK(BL169:CB169)),"","x")</f>
        <v/>
      </c>
      <c r="DO169"/>
      <c r="DP169"/>
      <c r="DQ169"/>
    </row>
    <row r="170" spans="1:122">
      <c r="A170" t="s">
        <v>234</v>
      </c>
      <c r="B170" t="s">
        <v>222</v>
      </c>
      <c r="C170" t="s">
        <v>223</v>
      </c>
      <c r="D170" s="22" t="s">
        <v>578</v>
      </c>
      <c r="E170" s="22" t="s">
        <v>580</v>
      </c>
      <c r="F170" s="20" t="s">
        <v>57</v>
      </c>
      <c r="J170" s="20" t="s">
        <v>58</v>
      </c>
      <c r="L170">
        <v>2025</v>
      </c>
      <c r="M170" s="10" t="s">
        <v>615</v>
      </c>
      <c r="N170"/>
      <c r="O170"/>
      <c r="P170"/>
      <c r="Q170"/>
      <c r="AA170" s="7" t="str" cm="1">
        <f t="array" ref="AA170">IF(AND(ISBLANK(S170:Z170)),"","x")</f>
        <v/>
      </c>
      <c r="AT170" s="7" t="str" cm="1">
        <f t="array" ref="AT170">IF(AND(ISBLANK(AB170:AS170)),"","x")</f>
        <v/>
      </c>
      <c r="BE170" s="7" t="str" cm="1">
        <f t="array" ref="BE170">IF(AND(ISBLANK(AY170:BD170)),"","x")</f>
        <v/>
      </c>
      <c r="BU170" t="s">
        <v>565</v>
      </c>
      <c r="BV170" t="s">
        <v>305</v>
      </c>
      <c r="BW170" t="s">
        <v>565</v>
      </c>
      <c r="BZ170" t="s">
        <v>531</v>
      </c>
      <c r="CB170" s="4" t="s">
        <v>305</v>
      </c>
      <c r="CC170" s="7" t="str" cm="1">
        <f t="array" ref="CC170">IF(AND(ISBLANK(BL170:CB170)),"","x")</f>
        <v>x</v>
      </c>
      <c r="DO170"/>
      <c r="DP170"/>
      <c r="DQ170"/>
    </row>
    <row r="171" spans="1:122">
      <c r="A171" t="s">
        <v>234</v>
      </c>
      <c r="B171" t="s">
        <v>226</v>
      </c>
      <c r="C171" t="s">
        <v>227</v>
      </c>
      <c r="D171" s="22" t="s">
        <v>612</v>
      </c>
      <c r="E171" s="22" t="s">
        <v>613</v>
      </c>
      <c r="F171" s="20" t="s">
        <v>14</v>
      </c>
      <c r="J171" s="20" t="s">
        <v>15</v>
      </c>
      <c r="K171">
        <v>2019</v>
      </c>
      <c r="L171">
        <v>2024</v>
      </c>
      <c r="M171" s="27" t="s">
        <v>611</v>
      </c>
      <c r="AA171" s="7" t="str" cm="1">
        <f t="array" ref="AA171">IF(AND(ISBLANK(S171:Z171)),"","x")</f>
        <v/>
      </c>
      <c r="AT171" s="7" t="str" cm="1">
        <f t="array" ref="AT171">IF(AND(ISBLANK(AB171:AS171)),"","x")</f>
        <v/>
      </c>
      <c r="BE171" s="7" t="str" cm="1">
        <f t="array" ref="BE171">IF(AND(ISBLANK(AY171:BD171)),"","x")</f>
        <v/>
      </c>
      <c r="BZ171" t="s">
        <v>305</v>
      </c>
      <c r="CA171" t="s">
        <v>305</v>
      </c>
      <c r="CC171" s="7" t="str" cm="1">
        <f t="array" ref="CC171">IF(AND(ISBLANK(BL171:CB171)),"","x")</f>
        <v>x</v>
      </c>
      <c r="DO171"/>
      <c r="DP171"/>
      <c r="DQ171"/>
    </row>
    <row r="172" spans="1:122">
      <c r="A172" t="s">
        <v>234</v>
      </c>
      <c r="B172" t="s">
        <v>226</v>
      </c>
      <c r="C172" t="s">
        <v>227</v>
      </c>
      <c r="D172" s="22" t="s">
        <v>578</v>
      </c>
      <c r="E172" s="22" t="s">
        <v>614</v>
      </c>
      <c r="K172">
        <v>2014</v>
      </c>
      <c r="L172">
        <v>2019</v>
      </c>
      <c r="M172" s="27"/>
      <c r="AA172" s="7" t="str" cm="1">
        <f t="array" ref="AA172">IF(AND(ISBLANK(S172:Z172)),"","x")</f>
        <v/>
      </c>
      <c r="AT172" s="7" t="str" cm="1">
        <f t="array" ref="AT172">IF(AND(ISBLANK(AB172:AS172)),"","x")</f>
        <v/>
      </c>
      <c r="BE172" s="7" t="str" cm="1">
        <f t="array" ref="BE172">IF(AND(ISBLANK(AY172:BD172)),"","x")</f>
        <v/>
      </c>
      <c r="BS172" t="s">
        <v>305</v>
      </c>
      <c r="BT172" t="s">
        <v>305</v>
      </c>
      <c r="BW172" t="s">
        <v>531</v>
      </c>
      <c r="CC172" s="7" t="str" cm="1">
        <f t="array" ref="CC172">IF(AND(ISBLANK(BL172:CB172)),"","x")</f>
        <v>x</v>
      </c>
      <c r="DO172"/>
      <c r="DP172"/>
      <c r="DQ172"/>
    </row>
    <row r="173" spans="1:122">
      <c r="A173" t="s">
        <v>234</v>
      </c>
      <c r="B173" t="s">
        <v>226</v>
      </c>
      <c r="C173" t="s">
        <v>227</v>
      </c>
      <c r="D173" s="22" t="s">
        <v>228</v>
      </c>
      <c r="F173" s="20" t="s">
        <v>32</v>
      </c>
      <c r="J173" s="20" t="s">
        <v>162</v>
      </c>
      <c r="K173">
        <v>2016</v>
      </c>
      <c r="L173">
        <v>2025</v>
      </c>
      <c r="M173" s="10" t="s">
        <v>1019</v>
      </c>
      <c r="N173"/>
      <c r="O173"/>
      <c r="P173"/>
      <c r="Q173"/>
      <c r="AA173" s="7" t="str" cm="1">
        <f t="array" ref="AA173">IF(AND(ISBLANK(S173:Z173)),"","x")</f>
        <v/>
      </c>
      <c r="AT173" s="7" t="str" cm="1">
        <f t="array" ref="AT173">IF(AND(ISBLANK(AB173:AS173)),"","x")</f>
        <v/>
      </c>
      <c r="BB173" t="s">
        <v>305</v>
      </c>
      <c r="BC173" t="s">
        <v>305</v>
      </c>
      <c r="BD173" s="4" t="s">
        <v>305</v>
      </c>
      <c r="BE173" s="7" t="str" cm="1">
        <f t="array" ref="BE173">IF(AND(ISBLANK(AY173:BD173)),"","x")</f>
        <v>x</v>
      </c>
      <c r="CC173" s="7" t="str" cm="1">
        <f t="array" ref="CC173">IF(AND(ISBLANK(BL173:CB173)),"","x")</f>
        <v/>
      </c>
      <c r="DO173"/>
      <c r="DP173"/>
      <c r="DQ173"/>
    </row>
    <row r="174" spans="1:122">
      <c r="A174" t="s">
        <v>234</v>
      </c>
      <c r="B174" t="s">
        <v>532</v>
      </c>
      <c r="C174" t="s">
        <v>533</v>
      </c>
      <c r="D174" s="22" t="s">
        <v>578</v>
      </c>
      <c r="E174" s="22" t="s">
        <v>534</v>
      </c>
      <c r="L174">
        <v>2018</v>
      </c>
      <c r="M174"/>
      <c r="N174"/>
      <c r="O174" s="10" t="s">
        <v>663</v>
      </c>
      <c r="P174"/>
      <c r="Q174"/>
      <c r="AA174" s="7" t="str" cm="1">
        <f t="array" ref="AA174">IF(AND(ISBLANK(S174:Z174)),"","x")</f>
        <v/>
      </c>
      <c r="AT174" s="7" t="str" cm="1">
        <f t="array" ref="AT174">IF(AND(ISBLANK(AB174:AS174)),"","x")</f>
        <v/>
      </c>
      <c r="BE174" s="7" t="str" cm="1">
        <f t="array" ref="BE174">IF(AND(ISBLANK(AY174:BD174)),"","x")</f>
        <v/>
      </c>
      <c r="BV174" t="s">
        <v>305</v>
      </c>
      <c r="CC174" s="7" t="str" cm="1">
        <f t="array" ref="CC174">IF(AND(ISBLANK(BL174:CB174)),"","x")</f>
        <v>x</v>
      </c>
      <c r="DO174"/>
      <c r="DP174"/>
      <c r="DQ174"/>
    </row>
    <row r="175" spans="1:122">
      <c r="A175" t="s">
        <v>235</v>
      </c>
      <c r="B175" t="s">
        <v>1033</v>
      </c>
      <c r="C175" t="s">
        <v>1034</v>
      </c>
      <c r="D175" s="22" t="s">
        <v>1035</v>
      </c>
      <c r="E175" s="22"/>
      <c r="K175">
        <v>2023</v>
      </c>
      <c r="L175">
        <v>2025</v>
      </c>
      <c r="M175" s="10" t="s">
        <v>1036</v>
      </c>
      <c r="N175"/>
      <c r="O175" s="10"/>
      <c r="P175"/>
      <c r="Q175"/>
      <c r="BC175" t="s">
        <v>305</v>
      </c>
      <c r="BE175" s="7" t="str" cm="1">
        <f t="array" ref="BE175">IF(AND(ISBLANK(AY175:BD175)),"","x")</f>
        <v>x</v>
      </c>
      <c r="DO175"/>
      <c r="DP175"/>
      <c r="DQ175"/>
    </row>
    <row r="176" spans="1:122">
      <c r="A176" t="s">
        <v>235</v>
      </c>
      <c r="B176" t="s">
        <v>618</v>
      </c>
      <c r="C176" t="s">
        <v>617</v>
      </c>
      <c r="D176" s="22" t="s">
        <v>619</v>
      </c>
      <c r="E176" s="22" t="s">
        <v>842</v>
      </c>
      <c r="K176">
        <v>2018</v>
      </c>
      <c r="L176">
        <v>2025</v>
      </c>
      <c r="M176" s="10" t="s">
        <v>620</v>
      </c>
      <c r="N176"/>
      <c r="O176" s="10" t="s">
        <v>623</v>
      </c>
      <c r="P176" s="10" t="s">
        <v>621</v>
      </c>
      <c r="Q176" s="10" t="s">
        <v>622</v>
      </c>
      <c r="AA176" s="7" t="str" cm="1">
        <f t="array" ref="AA176">IF(AND(ISBLANK(S176:Z176)),"","x")</f>
        <v/>
      </c>
      <c r="AR176" t="s">
        <v>769</v>
      </c>
      <c r="AT176" s="7" t="str" cm="1">
        <f t="array" ref="AT176">IF(AND(ISBLANK(AB176:AS176)),"","x")</f>
        <v>x</v>
      </c>
      <c r="BE176" s="7" t="str" cm="1">
        <f t="array" ref="BE176">IF(AND(ISBLANK(AY176:BD176)),"","x")</f>
        <v/>
      </c>
      <c r="CC176" s="7" t="str" cm="1">
        <f t="array" ref="CC176">IF(AND(ISBLANK(BL176:CB176)),"","x")</f>
        <v/>
      </c>
      <c r="DO176" t="s">
        <v>305</v>
      </c>
      <c r="DP176"/>
      <c r="DQ176"/>
    </row>
    <row r="177" spans="1:121">
      <c r="A177" t="s">
        <v>235</v>
      </c>
      <c r="B177" t="s">
        <v>618</v>
      </c>
      <c r="C177" t="s">
        <v>617</v>
      </c>
      <c r="D177" s="22" t="s">
        <v>978</v>
      </c>
      <c r="E177" s="22"/>
      <c r="K177">
        <v>2018</v>
      </c>
      <c r="L177">
        <v>2025</v>
      </c>
      <c r="M177" s="10" t="s">
        <v>1039</v>
      </c>
      <c r="N177"/>
      <c r="O177" s="10"/>
      <c r="P177" s="10"/>
      <c r="Q177" s="10"/>
      <c r="AZ177" t="s">
        <v>305</v>
      </c>
      <c r="BB177" t="s">
        <v>305</v>
      </c>
      <c r="BE177" s="7" t="str" cm="1">
        <f t="array" ref="BE177">IF(AND(ISBLANK(AY177:BD177)),"","x")</f>
        <v>x</v>
      </c>
      <c r="DO177"/>
      <c r="DP177"/>
      <c r="DQ177"/>
    </row>
    <row r="178" spans="1:121">
      <c r="A178" t="s">
        <v>235</v>
      </c>
      <c r="B178" t="s">
        <v>618</v>
      </c>
      <c r="C178" t="s">
        <v>617</v>
      </c>
      <c r="D178" s="22" t="s">
        <v>578</v>
      </c>
      <c r="E178" s="22" t="s">
        <v>616</v>
      </c>
      <c r="L178">
        <v>2015</v>
      </c>
      <c r="M178" s="22" t="s">
        <v>578</v>
      </c>
      <c r="N178" s="22" t="s">
        <v>578</v>
      </c>
      <c r="O178" s="22" t="s">
        <v>578</v>
      </c>
      <c r="P178" s="22" t="s">
        <v>578</v>
      </c>
      <c r="Q178" s="22" t="s">
        <v>578</v>
      </c>
      <c r="AA178" s="7" t="str" cm="1">
        <f t="array" ref="AA178">IF(AND(ISBLANK(S178:Z178)),"","x")</f>
        <v/>
      </c>
      <c r="AT178" s="7" t="str" cm="1">
        <f t="array" ref="AT178">IF(AND(ISBLANK(AB178:AS178)),"","x")</f>
        <v/>
      </c>
      <c r="BE178" s="7" t="str" cm="1">
        <f t="array" ref="BE178">IF(AND(ISBLANK(AY178:BD178)),"","x")</f>
        <v/>
      </c>
      <c r="BS178" t="s">
        <v>305</v>
      </c>
      <c r="CC178" s="7" t="str" cm="1">
        <f t="array" ref="CC178">IF(AND(ISBLANK(BL178:CB178)),"","x")</f>
        <v>x</v>
      </c>
      <c r="DO178"/>
      <c r="DP178"/>
      <c r="DQ178"/>
    </row>
    <row r="179" spans="1:121">
      <c r="A179" t="s">
        <v>235</v>
      </c>
      <c r="B179" t="s">
        <v>229</v>
      </c>
      <c r="C179" t="s">
        <v>230</v>
      </c>
      <c r="D179" s="22" t="s">
        <v>578</v>
      </c>
      <c r="E179" s="22" t="s">
        <v>231</v>
      </c>
      <c r="F179" s="20" t="s">
        <v>14</v>
      </c>
      <c r="J179" s="20" t="s">
        <v>15</v>
      </c>
      <c r="K179">
        <v>2022</v>
      </c>
      <c r="L179">
        <v>2023</v>
      </c>
      <c r="M179" s="10" t="s">
        <v>522</v>
      </c>
      <c r="N179"/>
      <c r="O179" s="10" t="s">
        <v>732</v>
      </c>
      <c r="P179" s="10" t="s">
        <v>733</v>
      </c>
      <c r="Q179"/>
      <c r="AA179" s="7" t="str" cm="1">
        <f t="array" ref="AA179">IF(AND(ISBLANK(S179:Z179)),"","x")</f>
        <v/>
      </c>
      <c r="AT179" s="7" t="str" cm="1">
        <f t="array" ref="AT179">IF(AND(ISBLANK(AB179:AS179)),"","x")</f>
        <v/>
      </c>
      <c r="BE179" s="7" t="str" cm="1">
        <f t="array" ref="BE179">IF(AND(ISBLANK(AY179:BD179)),"","x")</f>
        <v/>
      </c>
      <c r="BZ179" t="s">
        <v>305</v>
      </c>
      <c r="CC179" s="7" t="str" cm="1">
        <f t="array" ref="CC179">IF(AND(ISBLANK(BL179:CB179)),"","x")</f>
        <v>x</v>
      </c>
      <c r="DO179"/>
      <c r="DP179"/>
      <c r="DQ179"/>
    </row>
    <row r="180" spans="1:121">
      <c r="A180" t="s">
        <v>235</v>
      </c>
      <c r="B180" t="s">
        <v>229</v>
      </c>
      <c r="C180" t="s">
        <v>230</v>
      </c>
      <c r="D180" s="22" t="s">
        <v>1037</v>
      </c>
      <c r="E180" s="22"/>
      <c r="K180">
        <v>2023</v>
      </c>
      <c r="L180">
        <v>2025</v>
      </c>
      <c r="M180" s="10" t="s">
        <v>1038</v>
      </c>
      <c r="N180"/>
      <c r="O180" s="10"/>
      <c r="P180" s="10"/>
      <c r="Q180"/>
      <c r="BC180" t="s">
        <v>305</v>
      </c>
      <c r="BD180" s="4" t="s">
        <v>305</v>
      </c>
      <c r="BE180" s="7" t="str" cm="1">
        <f t="array" ref="BE180">IF(AND(ISBLANK(AY180:BD180)),"","x")</f>
        <v>x</v>
      </c>
      <c r="DO180"/>
      <c r="DP180"/>
      <c r="DQ180"/>
    </row>
    <row r="181" spans="1:121">
      <c r="A181" t="s">
        <v>235</v>
      </c>
      <c r="B181" t="s">
        <v>517</v>
      </c>
      <c r="C181" t="s">
        <v>230</v>
      </c>
      <c r="D181" s="22" t="s">
        <v>518</v>
      </c>
      <c r="K181">
        <v>2025</v>
      </c>
      <c r="L181">
        <v>2025</v>
      </c>
      <c r="M181" s="10" t="s">
        <v>521</v>
      </c>
      <c r="N181"/>
      <c r="O181"/>
      <c r="P181" s="10" t="s">
        <v>519</v>
      </c>
      <c r="Q181" s="10" t="s">
        <v>520</v>
      </c>
      <c r="AA181" s="7" t="str" cm="1">
        <f t="array" ref="AA181">IF(AND(ISBLANK(S181:Z181)),"","x")</f>
        <v/>
      </c>
      <c r="AT181" s="7" t="str" cm="1">
        <f t="array" ref="AT181">IF(AND(ISBLANK(AB181:AS181)),"","x")</f>
        <v/>
      </c>
      <c r="BE181" s="7" t="str" cm="1">
        <f t="array" ref="BE181">IF(AND(ISBLANK(AY181:BD181)),"","x")</f>
        <v/>
      </c>
      <c r="CC181" s="7" t="str" cm="1">
        <f t="array" ref="CC181">IF(AND(ISBLANK(BL181:CB181)),"","x")</f>
        <v/>
      </c>
      <c r="DO181"/>
      <c r="DP181"/>
      <c r="DQ181"/>
    </row>
    <row r="182" spans="1:121">
      <c r="A182" t="s">
        <v>235</v>
      </c>
      <c r="B182" t="s">
        <v>517</v>
      </c>
      <c r="C182" t="s">
        <v>840</v>
      </c>
      <c r="D182" s="22" t="s">
        <v>778</v>
      </c>
      <c r="E182" s="22" t="s">
        <v>776</v>
      </c>
      <c r="K182">
        <v>2007</v>
      </c>
      <c r="L182">
        <v>2014</v>
      </c>
      <c r="M182" s="10" t="s">
        <v>777</v>
      </c>
      <c r="N182" s="10" t="s">
        <v>779</v>
      </c>
      <c r="O182"/>
      <c r="P182" s="10"/>
      <c r="Q182" s="10"/>
      <c r="AB182" s="20" t="s">
        <v>769</v>
      </c>
      <c r="AC182" t="s">
        <v>305</v>
      </c>
      <c r="AD182" t="s">
        <v>305</v>
      </c>
      <c r="AE182" t="s">
        <v>305</v>
      </c>
      <c r="AF182" t="s">
        <v>305</v>
      </c>
      <c r="AG182" t="s">
        <v>932</v>
      </c>
      <c r="AT182" s="7" t="str" cm="1">
        <f t="array" ref="AT182">IF(AND(ISBLANK(AB182:AS182)),"","x")</f>
        <v>x</v>
      </c>
      <c r="BE182" s="7" t="str" cm="1">
        <f t="array" ref="BE182">IF(AND(ISBLANK(AY182:BD182)),"","x")</f>
        <v/>
      </c>
      <c r="DO182"/>
      <c r="DP182"/>
      <c r="DQ182"/>
    </row>
    <row r="183" spans="1:121">
      <c r="A183" t="s">
        <v>469</v>
      </c>
      <c r="B183" t="s">
        <v>470</v>
      </c>
      <c r="C183" t="s">
        <v>471</v>
      </c>
      <c r="D183" s="22" t="s">
        <v>578</v>
      </c>
      <c r="E183" s="22" t="s">
        <v>916</v>
      </c>
      <c r="K183">
        <v>2023</v>
      </c>
      <c r="L183">
        <v>2023</v>
      </c>
      <c r="M183"/>
      <c r="N183"/>
      <c r="O183"/>
      <c r="P183"/>
      <c r="Q183"/>
      <c r="R183" s="4" t="s">
        <v>908</v>
      </c>
      <c r="X183" t="s">
        <v>305</v>
      </c>
      <c r="AA183" s="7" t="str" cm="1">
        <f t="array" ref="AA183">IF(AND(ISBLANK(S183:Z183)),"","x")</f>
        <v>x</v>
      </c>
      <c r="AT183" s="7" t="str" cm="1">
        <f t="array" ref="AT183">IF(AND(ISBLANK(AB183:AS183)),"","x")</f>
        <v/>
      </c>
      <c r="BE183" s="7" t="str" cm="1">
        <f t="array" ref="BE183">IF(AND(ISBLANK(AY183:BD183)),"","x")</f>
        <v/>
      </c>
      <c r="CC183" s="7" t="str" cm="1">
        <f t="array" ref="CC183">IF(AND(ISBLANK(BL183:CB183)),"","x")</f>
        <v/>
      </c>
      <c r="DO183"/>
      <c r="DP183"/>
      <c r="DQ183"/>
    </row>
    <row r="184" spans="1:121">
      <c r="A184" t="s">
        <v>250</v>
      </c>
      <c r="B184" t="s">
        <v>239</v>
      </c>
      <c r="C184" t="s">
        <v>240</v>
      </c>
      <c r="D184" s="22" t="s">
        <v>578</v>
      </c>
      <c r="E184" s="22" t="s">
        <v>593</v>
      </c>
      <c r="F184" s="20" t="s">
        <v>14</v>
      </c>
      <c r="J184" s="20" t="s">
        <v>15</v>
      </c>
      <c r="L184">
        <v>2025</v>
      </c>
      <c r="M184" s="27" t="s">
        <v>624</v>
      </c>
      <c r="O184" s="27" t="s">
        <v>625</v>
      </c>
      <c r="P184" s="27" t="s">
        <v>626</v>
      </c>
      <c r="AA184" s="7" t="str" cm="1">
        <f t="array" ref="AA184">IF(AND(ISBLANK(S184:Z184)),"","x")</f>
        <v/>
      </c>
      <c r="AT184" s="7" t="str" cm="1">
        <f t="array" ref="AT184">IF(AND(ISBLANK(AB184:AS184)),"","x")</f>
        <v/>
      </c>
      <c r="BE184" s="7" t="str" cm="1">
        <f t="array" ref="BE184">IF(AND(ISBLANK(AY184:BD184)),"","x")</f>
        <v/>
      </c>
      <c r="BS184" t="s">
        <v>305</v>
      </c>
      <c r="CB184" s="4" t="s">
        <v>305</v>
      </c>
      <c r="CC184" s="7" t="str" cm="1">
        <f t="array" ref="CC184">IF(AND(ISBLANK(BL184:CB184)),"","x")</f>
        <v>x</v>
      </c>
      <c r="DO184"/>
      <c r="DP184"/>
      <c r="DQ184"/>
    </row>
    <row r="185" spans="1:121">
      <c r="A185" t="s">
        <v>250</v>
      </c>
      <c r="B185" t="s">
        <v>239</v>
      </c>
      <c r="C185" t="s">
        <v>240</v>
      </c>
      <c r="D185" s="22" t="s">
        <v>578</v>
      </c>
      <c r="E185" s="23" t="s">
        <v>490</v>
      </c>
      <c r="K185">
        <v>2007</v>
      </c>
      <c r="L185">
        <v>2012</v>
      </c>
      <c r="M185" s="10" t="s">
        <v>491</v>
      </c>
      <c r="N185"/>
      <c r="O185"/>
      <c r="P185"/>
      <c r="Q185"/>
      <c r="AA185" s="7" t="str" cm="1">
        <f t="array" ref="AA185">IF(AND(ISBLANK(S185:Z185)),"","x")</f>
        <v/>
      </c>
      <c r="AB185" s="20" t="s">
        <v>769</v>
      </c>
      <c r="AC185" t="s">
        <v>305</v>
      </c>
      <c r="AD185" t="s">
        <v>305</v>
      </c>
      <c r="AE185" t="s">
        <v>305</v>
      </c>
      <c r="AF185" t="s">
        <v>932</v>
      </c>
      <c r="AT185" s="7" t="str" cm="1">
        <f t="array" ref="AT185">IF(AND(ISBLANK(AB185:AS185)),"","x")</f>
        <v>x</v>
      </c>
      <c r="BE185" s="7" t="str" cm="1">
        <f t="array" ref="BE185">IF(AND(ISBLANK(AY185:BD185)),"","x")</f>
        <v/>
      </c>
      <c r="CC185" s="7" t="str" cm="1">
        <f t="array" ref="CC185">IF(AND(ISBLANK(BL185:CB185)),"","x")</f>
        <v/>
      </c>
      <c r="DO185"/>
      <c r="DP185"/>
      <c r="DQ185"/>
    </row>
    <row r="186" spans="1:121">
      <c r="A186" t="s">
        <v>250</v>
      </c>
      <c r="B186" t="s">
        <v>239</v>
      </c>
      <c r="C186" t="s">
        <v>240</v>
      </c>
      <c r="D186" s="22" t="s">
        <v>994</v>
      </c>
      <c r="E186" s="23"/>
      <c r="K186">
        <v>2021</v>
      </c>
      <c r="L186">
        <v>2025</v>
      </c>
      <c r="M186" s="10" t="s">
        <v>995</v>
      </c>
      <c r="N186"/>
      <c r="O186"/>
      <c r="P186"/>
      <c r="Q186"/>
      <c r="BA186" t="s">
        <v>305</v>
      </c>
      <c r="BC186" t="s">
        <v>305</v>
      </c>
      <c r="BD186" s="4" t="s">
        <v>305</v>
      </c>
      <c r="BE186" s="7" t="str" cm="1">
        <f t="array" ref="BE186">IF(AND(ISBLANK(AY186:BD186)),"","x")</f>
        <v>x</v>
      </c>
      <c r="DO186"/>
      <c r="DP186"/>
      <c r="DQ186"/>
    </row>
    <row r="187" spans="1:121">
      <c r="A187" t="s">
        <v>250</v>
      </c>
      <c r="B187" t="s">
        <v>239</v>
      </c>
      <c r="C187" t="s">
        <v>240</v>
      </c>
      <c r="D187" s="22" t="s">
        <v>1003</v>
      </c>
      <c r="E187" s="23"/>
      <c r="K187">
        <v>2021</v>
      </c>
      <c r="L187">
        <v>2025</v>
      </c>
      <c r="M187" s="10" t="s">
        <v>1004</v>
      </c>
      <c r="N187"/>
      <c r="O187"/>
      <c r="P187"/>
      <c r="Q187"/>
      <c r="BA187" t="s">
        <v>305</v>
      </c>
      <c r="BE187" s="7" t="str" cm="1">
        <f t="array" ref="BE187">IF(AND(ISBLANK(AY187:BD187)),"","x")</f>
        <v>x</v>
      </c>
      <c r="DO187"/>
      <c r="DP187"/>
      <c r="DQ187"/>
    </row>
    <row r="188" spans="1:121">
      <c r="A188" t="s">
        <v>250</v>
      </c>
      <c r="B188" t="s">
        <v>239</v>
      </c>
      <c r="C188" t="s">
        <v>437</v>
      </c>
      <c r="D188" s="22" t="s">
        <v>438</v>
      </c>
      <c r="K188">
        <v>2025</v>
      </c>
      <c r="L188">
        <v>2025</v>
      </c>
      <c r="M188" s="10" t="s">
        <v>439</v>
      </c>
      <c r="N188"/>
      <c r="O188"/>
      <c r="P188" s="10" t="s">
        <v>440</v>
      </c>
      <c r="Q188"/>
      <c r="AA188" s="7" t="str" cm="1">
        <f t="array" ref="AA188">IF(AND(ISBLANK(S188:Z188)),"","x")</f>
        <v/>
      </c>
      <c r="AT188" s="7" t="str" cm="1">
        <f t="array" ref="AT188">IF(AND(ISBLANK(AB188:AS188)),"","x")</f>
        <v/>
      </c>
      <c r="BE188" s="7" t="str" cm="1">
        <f t="array" ref="BE188">IF(AND(ISBLANK(AY188:BD188)),"","x")</f>
        <v/>
      </c>
      <c r="CC188" s="7" t="str" cm="1">
        <f t="array" ref="CC188">IF(AND(ISBLANK(BL188:CB188)),"","x")</f>
        <v/>
      </c>
      <c r="DO188"/>
      <c r="DP188"/>
      <c r="DQ188"/>
    </row>
    <row r="189" spans="1:121">
      <c r="A189" t="s">
        <v>249</v>
      </c>
      <c r="B189" t="s">
        <v>236</v>
      </c>
      <c r="C189" t="s">
        <v>237</v>
      </c>
      <c r="D189" s="22" t="s">
        <v>238</v>
      </c>
      <c r="F189" s="20" t="s">
        <v>11</v>
      </c>
      <c r="J189" s="20" t="s">
        <v>12</v>
      </c>
      <c r="K189">
        <v>2024</v>
      </c>
      <c r="L189">
        <v>2025</v>
      </c>
      <c r="M189" s="10" t="s">
        <v>363</v>
      </c>
      <c r="N189"/>
      <c r="O189"/>
      <c r="P189" s="10" t="s">
        <v>365</v>
      </c>
      <c r="Q189" s="10" t="s">
        <v>364</v>
      </c>
      <c r="Z189" s="4" t="s">
        <v>305</v>
      </c>
      <c r="AA189" s="7" t="str" cm="1">
        <f t="array" ref="AA189">IF(AND(ISBLANK(S189:Z189)),"","x")</f>
        <v>x</v>
      </c>
      <c r="AT189" s="7" t="str" cm="1">
        <f t="array" ref="AT189">IF(AND(ISBLANK(AB189:AS189)),"","x")</f>
        <v/>
      </c>
      <c r="BE189" s="7" t="str" cm="1">
        <f t="array" ref="BE189">IF(AND(ISBLANK(AY189:BD189)),"","x")</f>
        <v/>
      </c>
      <c r="CC189" s="7" t="str" cm="1">
        <f t="array" ref="CC189">IF(AND(ISBLANK(BL189:CB189)),"","x")</f>
        <v/>
      </c>
    </row>
    <row r="190" spans="1:121">
      <c r="A190" t="s">
        <v>250</v>
      </c>
      <c r="B190" t="s">
        <v>239</v>
      </c>
      <c r="C190" t="s">
        <v>241</v>
      </c>
      <c r="D190" s="22" t="s">
        <v>242</v>
      </c>
      <c r="F190" s="20" t="s">
        <v>11</v>
      </c>
      <c r="J190" s="20" t="s">
        <v>12</v>
      </c>
      <c r="K190">
        <v>2018</v>
      </c>
      <c r="L190">
        <v>2025</v>
      </c>
      <c r="M190" s="10" t="s">
        <v>387</v>
      </c>
      <c r="N190"/>
      <c r="O190"/>
      <c r="P190"/>
      <c r="Q190"/>
      <c r="S190" t="s">
        <v>305</v>
      </c>
      <c r="Z190" s="4" t="s">
        <v>305</v>
      </c>
      <c r="AA190" s="7" t="str" cm="1">
        <f t="array" ref="AA190">IF(AND(ISBLANK(S190:Z190)),"","x")</f>
        <v>x</v>
      </c>
      <c r="AT190" s="7" t="str" cm="1">
        <f t="array" ref="AT190">IF(AND(ISBLANK(AB190:AS190)),"","x")</f>
        <v/>
      </c>
      <c r="BE190" s="7" t="str" cm="1">
        <f t="array" ref="BE190">IF(AND(ISBLANK(AY190:BD190)),"","x")</f>
        <v/>
      </c>
      <c r="CC190" s="7" t="str" cm="1">
        <f t="array" ref="CC190">IF(AND(ISBLANK(BL190:CB190)),"","x")</f>
        <v/>
      </c>
    </row>
    <row r="191" spans="1:121">
      <c r="A191" t="s">
        <v>249</v>
      </c>
      <c r="B191" t="s">
        <v>243</v>
      </c>
      <c r="C191" t="s">
        <v>244</v>
      </c>
      <c r="D191" s="22" t="s">
        <v>245</v>
      </c>
      <c r="F191" s="20" t="s">
        <v>11</v>
      </c>
      <c r="J191" s="20" t="s">
        <v>12</v>
      </c>
      <c r="K191">
        <v>2016</v>
      </c>
      <c r="L191">
        <v>2024</v>
      </c>
      <c r="M191" s="10" t="s">
        <v>454</v>
      </c>
      <c r="N191" s="10" t="s">
        <v>455</v>
      </c>
      <c r="O191"/>
      <c r="P191" s="10" t="s">
        <v>456</v>
      </c>
      <c r="Q191"/>
      <c r="S191" t="s">
        <v>305</v>
      </c>
      <c r="T191" t="s">
        <v>305</v>
      </c>
      <c r="U191" t="s">
        <v>305</v>
      </c>
      <c r="V191" t="s">
        <v>305</v>
      </c>
      <c r="W191" t="s">
        <v>305</v>
      </c>
      <c r="X191" t="s">
        <v>305</v>
      </c>
      <c r="Y191" t="s">
        <v>305</v>
      </c>
      <c r="AA191" s="7" t="str" cm="1">
        <f t="array" ref="AA191">IF(AND(ISBLANK(S191:Z191)),"","x")</f>
        <v>x</v>
      </c>
      <c r="AT191" s="7" t="str" cm="1">
        <f t="array" ref="AT191">IF(AND(ISBLANK(AB191:AS191)),"","x")</f>
        <v/>
      </c>
      <c r="BE191" s="7" t="str" cm="1">
        <f t="array" ref="BE191">IF(AND(ISBLANK(AY191:BD191)),"","x")</f>
        <v/>
      </c>
      <c r="CC191" s="7" t="str" cm="1">
        <f t="array" ref="CC191">IF(AND(ISBLANK(BL191:CB191)),"","x")</f>
        <v/>
      </c>
      <c r="DO191"/>
      <c r="DP191"/>
      <c r="DQ191"/>
    </row>
    <row r="192" spans="1:121">
      <c r="A192" t="s">
        <v>249</v>
      </c>
      <c r="B192" t="s">
        <v>246</v>
      </c>
      <c r="C192" t="s">
        <v>247</v>
      </c>
      <c r="D192" s="22" t="s">
        <v>248</v>
      </c>
      <c r="F192" s="20" t="s">
        <v>11</v>
      </c>
      <c r="J192" s="20" t="s">
        <v>12</v>
      </c>
      <c r="K192">
        <v>2024</v>
      </c>
      <c r="L192">
        <v>2025</v>
      </c>
      <c r="M192" s="10" t="s">
        <v>374</v>
      </c>
      <c r="N192"/>
      <c r="O192"/>
      <c r="P192" s="10" t="s">
        <v>376</v>
      </c>
      <c r="Q192" s="10" t="s">
        <v>375</v>
      </c>
      <c r="Y192" t="s">
        <v>305</v>
      </c>
      <c r="Z192" s="4" t="s">
        <v>305</v>
      </c>
      <c r="AA192" s="7" t="str" cm="1">
        <f t="array" ref="AA192">IF(AND(ISBLANK(S192:Z192)),"","x")</f>
        <v>x</v>
      </c>
      <c r="AT192" s="7" t="str" cm="1">
        <f t="array" ref="AT192">IF(AND(ISBLANK(AB192:AS192)),"","x")</f>
        <v/>
      </c>
      <c r="BE192" s="7" t="str" cm="1">
        <f t="array" ref="BE192">IF(AND(ISBLANK(AY192:BD192)),"","x")</f>
        <v/>
      </c>
      <c r="CC192" s="7" t="str" cm="1">
        <f t="array" ref="CC192">IF(AND(ISBLANK(BL192:CB192)),"","x")</f>
        <v/>
      </c>
    </row>
    <row r="193" spans="1:123">
      <c r="A193" t="s">
        <v>249</v>
      </c>
      <c r="B193" t="s">
        <v>246</v>
      </c>
      <c r="C193" t="s">
        <v>247</v>
      </c>
      <c r="D193" s="22" t="s">
        <v>1008</v>
      </c>
      <c r="K193">
        <v>2021</v>
      </c>
      <c r="L193">
        <v>2025</v>
      </c>
      <c r="M193" s="10" t="s">
        <v>1009</v>
      </c>
      <c r="N193"/>
      <c r="O193"/>
      <c r="P193" s="10"/>
      <c r="Q193" s="10"/>
      <c r="BA193" t="s">
        <v>305</v>
      </c>
      <c r="BB193" t="s">
        <v>305</v>
      </c>
      <c r="BD193" s="4" t="s">
        <v>305</v>
      </c>
      <c r="BE193" s="7" t="str" cm="1">
        <f t="array" ref="BE193">IF(AND(ISBLANK(AY193:BD193)),"","x")</f>
        <v>x</v>
      </c>
    </row>
    <row r="194" spans="1:123">
      <c r="A194" t="s">
        <v>249</v>
      </c>
      <c r="B194" t="s">
        <v>246</v>
      </c>
      <c r="C194" t="s">
        <v>247</v>
      </c>
      <c r="D194" s="22" t="s">
        <v>578</v>
      </c>
      <c r="E194" s="22" t="s">
        <v>543</v>
      </c>
      <c r="K194">
        <v>2014</v>
      </c>
      <c r="L194">
        <v>2016</v>
      </c>
      <c r="M194" s="10"/>
      <c r="N194"/>
      <c r="O194" s="10" t="s">
        <v>646</v>
      </c>
      <c r="P194" s="10"/>
      <c r="Q194" s="10"/>
      <c r="AA194" s="7" t="str" cm="1">
        <f t="array" ref="AA194">IF(AND(ISBLANK(S194:Z194)),"","x")</f>
        <v/>
      </c>
      <c r="AT194" s="7" t="str" cm="1">
        <f t="array" ref="AT194">IF(AND(ISBLANK(AB194:AS194)),"","x")</f>
        <v/>
      </c>
      <c r="BE194" s="7" t="str" cm="1">
        <f t="array" ref="BE194">IF(AND(ISBLANK(AY194:BD194)),"","x")</f>
        <v/>
      </c>
      <c r="BT194" t="s">
        <v>305</v>
      </c>
      <c r="CC194" s="7" t="str" cm="1">
        <f t="array" ref="CC194">IF(AND(ISBLANK(BL194:CB194)),"","x")</f>
        <v>x</v>
      </c>
    </row>
    <row r="195" spans="1:123">
      <c r="A195" t="s">
        <v>272</v>
      </c>
      <c r="B195" t="s">
        <v>251</v>
      </c>
      <c r="C195" t="s">
        <v>252</v>
      </c>
      <c r="D195" s="22" t="s">
        <v>765</v>
      </c>
      <c r="F195" s="20" t="s">
        <v>11</v>
      </c>
      <c r="J195" s="20" t="s">
        <v>12</v>
      </c>
      <c r="K195">
        <v>2017</v>
      </c>
      <c r="L195">
        <v>2025</v>
      </c>
      <c r="M195"/>
      <c r="N195"/>
      <c r="O195"/>
      <c r="P195" s="10" t="s">
        <v>415</v>
      </c>
      <c r="Q195" s="10" t="s">
        <v>414</v>
      </c>
      <c r="Z195" s="4" t="s">
        <v>305</v>
      </c>
      <c r="AA195" s="7" t="str" cm="1">
        <f t="array" ref="AA195">IF(AND(ISBLANK(S195:Z195)),"","x")</f>
        <v>x</v>
      </c>
      <c r="AT195" s="7" t="str" cm="1">
        <f t="array" ref="AT195">IF(AND(ISBLANK(AB195:AS195)),"","x")</f>
        <v/>
      </c>
      <c r="BE195" s="7" t="str" cm="1">
        <f t="array" ref="BE195">IF(AND(ISBLANK(AY195:BD195)),"","x")</f>
        <v/>
      </c>
      <c r="CC195" s="7" t="str" cm="1">
        <f t="array" ref="CC195">IF(AND(ISBLANK(BL195:CB195)),"","x")</f>
        <v/>
      </c>
      <c r="CU195" t="s">
        <v>305</v>
      </c>
      <c r="CX195" t="s">
        <v>305</v>
      </c>
      <c r="CY195" t="s">
        <v>305</v>
      </c>
      <c r="CZ195" t="s">
        <v>305</v>
      </c>
    </row>
    <row r="196" spans="1:123">
      <c r="A196" t="s">
        <v>272</v>
      </c>
      <c r="B196" t="s">
        <v>251</v>
      </c>
      <c r="C196" t="s">
        <v>252</v>
      </c>
      <c r="D196" s="22" t="s">
        <v>1000</v>
      </c>
      <c r="K196">
        <v>2017</v>
      </c>
      <c r="L196">
        <v>2025</v>
      </c>
      <c r="M196"/>
      <c r="N196"/>
      <c r="O196"/>
      <c r="P196" s="10"/>
      <c r="Q196" s="10"/>
      <c r="BA196" t="s">
        <v>305</v>
      </c>
      <c r="BC196" t="s">
        <v>305</v>
      </c>
      <c r="BD196" s="4" t="s">
        <v>305</v>
      </c>
      <c r="BE196" s="7" t="str" cm="1">
        <f t="array" ref="BE196">IF(AND(ISBLANK(AY196:BD196)),"","x")</f>
        <v>x</v>
      </c>
    </row>
    <row r="197" spans="1:123">
      <c r="A197" t="s">
        <v>272</v>
      </c>
      <c r="B197" t="s">
        <v>253</v>
      </c>
      <c r="C197" t="s">
        <v>254</v>
      </c>
      <c r="D197" s="22" t="s">
        <v>578</v>
      </c>
      <c r="E197" s="22" t="s">
        <v>255</v>
      </c>
      <c r="F197" s="20" t="s">
        <v>14</v>
      </c>
      <c r="J197" s="20" t="s">
        <v>15</v>
      </c>
      <c r="L197">
        <v>2018</v>
      </c>
      <c r="M197"/>
      <c r="N197"/>
      <c r="O197"/>
      <c r="P197"/>
      <c r="Q197"/>
      <c r="AA197" s="7" t="str" cm="1">
        <f t="array" ref="AA197">IF(AND(ISBLANK(S197:Z197)),"","x")</f>
        <v/>
      </c>
      <c r="AT197" s="7" t="str" cm="1">
        <f t="array" ref="AT197">IF(AND(ISBLANK(AB197:AS197)),"","x")</f>
        <v/>
      </c>
      <c r="BE197" s="7" t="str" cm="1">
        <f t="array" ref="BE197">IF(AND(ISBLANK(AY197:BD197)),"","x")</f>
        <v/>
      </c>
      <c r="BV197" t="s">
        <v>305</v>
      </c>
      <c r="CC197" s="7" t="str" cm="1">
        <f t="array" ref="CC197">IF(AND(ISBLANK(BL197:CB197)),"","x")</f>
        <v>x</v>
      </c>
      <c r="DO197"/>
      <c r="DP197"/>
      <c r="DQ197"/>
    </row>
    <row r="198" spans="1:123">
      <c r="A198" t="s">
        <v>272</v>
      </c>
      <c r="B198" t="s">
        <v>843</v>
      </c>
      <c r="C198" t="s">
        <v>844</v>
      </c>
      <c r="D198" s="22" t="s">
        <v>846</v>
      </c>
      <c r="E198" s="22" t="s">
        <v>849</v>
      </c>
      <c r="K198">
        <v>2018</v>
      </c>
      <c r="L198">
        <v>2025</v>
      </c>
      <c r="M198" s="10" t="s">
        <v>845</v>
      </c>
      <c r="N198"/>
      <c r="O198"/>
      <c r="P198" s="10" t="s">
        <v>847</v>
      </c>
      <c r="Q198" s="10" t="s">
        <v>848</v>
      </c>
      <c r="AQ198" t="s">
        <v>769</v>
      </c>
      <c r="AT198" s="7" t="str" cm="1">
        <f t="array" ref="AT198">IF(AND(ISBLANK(AB198:AS198)),"","x")</f>
        <v>x</v>
      </c>
      <c r="BE198" s="7" t="str" cm="1">
        <f t="array" ref="BE198">IF(AND(ISBLANK(AY198:BD198)),"","x")</f>
        <v/>
      </c>
      <c r="DO198" t="s">
        <v>305</v>
      </c>
      <c r="DP198"/>
      <c r="DQ198"/>
    </row>
    <row r="199" spans="1:123">
      <c r="A199" t="s">
        <v>272</v>
      </c>
      <c r="B199" t="s">
        <v>843</v>
      </c>
      <c r="C199" t="s">
        <v>844</v>
      </c>
      <c r="D199" s="22" t="s">
        <v>1021</v>
      </c>
      <c r="E199" s="22" t="s">
        <v>1022</v>
      </c>
      <c r="K199">
        <v>2013</v>
      </c>
      <c r="L199">
        <v>2025</v>
      </c>
      <c r="M199" s="10" t="s">
        <v>1020</v>
      </c>
      <c r="N199"/>
      <c r="O199"/>
      <c r="P199" s="10"/>
      <c r="Q199" s="10"/>
      <c r="BB199" t="s">
        <v>305</v>
      </c>
      <c r="BC199" t="s">
        <v>305</v>
      </c>
      <c r="BD199" s="4" t="s">
        <v>305</v>
      </c>
      <c r="BE199" s="7" t="str" cm="1">
        <f t="array" ref="BE199">IF(AND(ISBLANK(AY199:BD199)),"","x")</f>
        <v>x</v>
      </c>
      <c r="DO199"/>
      <c r="DP199"/>
      <c r="DQ199"/>
    </row>
    <row r="200" spans="1:123">
      <c r="A200" t="s">
        <v>272</v>
      </c>
      <c r="B200" t="s">
        <v>256</v>
      </c>
      <c r="C200" t="s">
        <v>257</v>
      </c>
      <c r="D200" s="22" t="s">
        <v>919</v>
      </c>
      <c r="E200" s="22" t="s">
        <v>918</v>
      </c>
      <c r="F200" s="20" t="s">
        <v>11</v>
      </c>
      <c r="J200" s="20" t="s">
        <v>12</v>
      </c>
      <c r="K200">
        <v>2014</v>
      </c>
      <c r="L200">
        <v>2025</v>
      </c>
      <c r="M200" s="10" t="s">
        <v>917</v>
      </c>
      <c r="N200"/>
      <c r="O200"/>
      <c r="P200" s="10" t="s">
        <v>921</v>
      </c>
      <c r="Q200" s="10" t="s">
        <v>920</v>
      </c>
      <c r="U200" t="s">
        <v>305</v>
      </c>
      <c r="AA200" s="7" t="str" cm="1">
        <f t="array" ref="AA200">IF(AND(ISBLANK(S200:Z200)),"","x")</f>
        <v>x</v>
      </c>
      <c r="AT200" s="7" t="str" cm="1">
        <f t="array" ref="AT200">IF(AND(ISBLANK(AB200:AS200)),"","x")</f>
        <v/>
      </c>
      <c r="AZ200" t="s">
        <v>305</v>
      </c>
      <c r="BA200" t="s">
        <v>305</v>
      </c>
      <c r="BE200" s="7" t="str" cm="1">
        <f t="array" ref="BE200">IF(AND(ISBLANK(AY200:BD200)),"","x")</f>
        <v>x</v>
      </c>
      <c r="CC200" s="7" t="str" cm="1">
        <f t="array" ref="CC200">IF(AND(ISBLANK(BL200:CB200)),"","x")</f>
        <v/>
      </c>
      <c r="CU200" t="s">
        <v>305</v>
      </c>
      <c r="CW200" t="s">
        <v>305</v>
      </c>
      <c r="CX200" t="s">
        <v>305</v>
      </c>
      <c r="CY200" t="s">
        <v>305</v>
      </c>
      <c r="CZ200" t="s">
        <v>305</v>
      </c>
      <c r="DA200" s="4" t="s">
        <v>305</v>
      </c>
      <c r="DO200" t="s">
        <v>305</v>
      </c>
      <c r="DP200"/>
      <c r="DQ200"/>
      <c r="DR200" t="s">
        <v>305</v>
      </c>
      <c r="DS200" t="s">
        <v>305</v>
      </c>
    </row>
    <row r="201" spans="1:123">
      <c r="A201" t="s">
        <v>272</v>
      </c>
      <c r="B201" t="s">
        <v>880</v>
      </c>
      <c r="C201" t="s">
        <v>753</v>
      </c>
      <c r="D201" s="22" t="s">
        <v>578</v>
      </c>
      <c r="E201" s="22" t="s">
        <v>258</v>
      </c>
      <c r="F201" s="20" t="s">
        <v>111</v>
      </c>
      <c r="J201" s="20" t="s">
        <v>44</v>
      </c>
      <c r="K201">
        <v>2020</v>
      </c>
      <c r="L201">
        <v>2021</v>
      </c>
      <c r="M201" t="s">
        <v>578</v>
      </c>
      <c r="N201" t="s">
        <v>578</v>
      </c>
      <c r="O201" t="s">
        <v>578</v>
      </c>
      <c r="P201" t="s">
        <v>578</v>
      </c>
      <c r="Q201" t="s">
        <v>578</v>
      </c>
      <c r="AA201" s="7" t="str" cm="1">
        <f t="array" ref="AA201">IF(AND(ISBLANK(S201:Z201)),"","x")</f>
        <v/>
      </c>
      <c r="AT201" s="7" t="str" cm="1">
        <f t="array" ref="AT201">IF(AND(ISBLANK(AB201:AS201)),"","x")</f>
        <v/>
      </c>
      <c r="BE201" s="7" t="str" cm="1">
        <f t="array" ref="BE201">IF(AND(ISBLANK(AY201:BD201)),"","x")</f>
        <v/>
      </c>
      <c r="BX201" t="s">
        <v>305</v>
      </c>
      <c r="CC201" s="7" t="str" cm="1">
        <f t="array" ref="CC201">IF(AND(ISBLANK(BL201:CB201)),"","x")</f>
        <v>x</v>
      </c>
      <c r="DO201"/>
      <c r="DP201"/>
      <c r="DQ201"/>
    </row>
    <row r="202" spans="1:123">
      <c r="A202" t="s">
        <v>272</v>
      </c>
      <c r="B202" t="s">
        <v>983</v>
      </c>
      <c r="C202" t="s">
        <v>984</v>
      </c>
      <c r="D202" s="22" t="s">
        <v>985</v>
      </c>
      <c r="E202" s="22"/>
      <c r="K202">
        <v>2019</v>
      </c>
      <c r="L202">
        <v>2025</v>
      </c>
      <c r="M202" s="10" t="s">
        <v>986</v>
      </c>
      <c r="N202"/>
      <c r="O202"/>
      <c r="P202"/>
      <c r="Q202"/>
      <c r="AZ202" t="s">
        <v>305</v>
      </c>
      <c r="BA202" t="s">
        <v>305</v>
      </c>
      <c r="BE202" s="7" t="str" cm="1">
        <f t="array" ref="BE202">IF(AND(ISBLANK(AY202:BD202)),"","x")</f>
        <v>x</v>
      </c>
      <c r="DO202"/>
      <c r="DP202"/>
      <c r="DQ202"/>
    </row>
    <row r="203" spans="1:123">
      <c r="A203" t="s">
        <v>273</v>
      </c>
      <c r="B203" t="s">
        <v>259</v>
      </c>
      <c r="C203" t="s">
        <v>260</v>
      </c>
      <c r="D203" s="22" t="s">
        <v>578</v>
      </c>
      <c r="E203" s="23" t="s">
        <v>802</v>
      </c>
      <c r="F203" s="20" t="s">
        <v>35</v>
      </c>
      <c r="J203" s="20" t="s">
        <v>36</v>
      </c>
      <c r="K203">
        <v>2017</v>
      </c>
      <c r="L203">
        <v>2025</v>
      </c>
      <c r="M203" s="10" t="s">
        <v>512</v>
      </c>
      <c r="N203" s="10" t="s">
        <v>514</v>
      </c>
      <c r="O203" s="10" t="s">
        <v>513</v>
      </c>
      <c r="P203" s="10" t="s">
        <v>515</v>
      </c>
      <c r="Q203"/>
      <c r="AA203" s="7" t="str" cm="1">
        <f t="array" ref="AA203">IF(AND(ISBLANK(S203:Z203)),"","x")</f>
        <v/>
      </c>
      <c r="AK203" t="s">
        <v>769</v>
      </c>
      <c r="AL203" t="s">
        <v>305</v>
      </c>
      <c r="AM203" t="s">
        <v>305</v>
      </c>
      <c r="AN203" t="s">
        <v>305</v>
      </c>
      <c r="AO203" t="s">
        <v>305</v>
      </c>
      <c r="AP203" t="s">
        <v>305</v>
      </c>
      <c r="AQ203" t="s">
        <v>932</v>
      </c>
      <c r="AT203" s="7" t="str" cm="1">
        <f t="array" ref="AT203">IF(AND(ISBLANK(AB203:AS203)),"","x")</f>
        <v>x</v>
      </c>
      <c r="BE203" s="7" t="str" cm="1">
        <f t="array" ref="BE203">IF(AND(ISBLANK(AY203:BD203)),"","x")</f>
        <v/>
      </c>
      <c r="CC203" s="7" t="str" cm="1">
        <f t="array" ref="CC203">IF(AND(ISBLANK(BL203:CB203)),"","x")</f>
        <v/>
      </c>
      <c r="DO203"/>
      <c r="DP203"/>
      <c r="DQ203"/>
    </row>
    <row r="204" spans="1:123">
      <c r="A204" t="s">
        <v>273</v>
      </c>
      <c r="B204" t="s">
        <v>1029</v>
      </c>
      <c r="C204" t="s">
        <v>1030</v>
      </c>
      <c r="D204" s="22" t="s">
        <v>1032</v>
      </c>
      <c r="E204" s="23"/>
      <c r="K204">
        <v>2022</v>
      </c>
      <c r="L204">
        <v>2025</v>
      </c>
      <c r="M204" s="10" t="s">
        <v>1031</v>
      </c>
      <c r="N204" s="10"/>
      <c r="O204" s="10"/>
      <c r="P204" s="10"/>
      <c r="Q204"/>
      <c r="BC204" t="s">
        <v>305</v>
      </c>
      <c r="BE204" s="7" t="str" cm="1">
        <f t="array" ref="BE204">IF(AND(ISBLANK(AY204:BD204)),"","x")</f>
        <v>x</v>
      </c>
      <c r="DO204"/>
      <c r="DP204"/>
      <c r="DQ204"/>
    </row>
    <row r="205" spans="1:123">
      <c r="A205" t="s">
        <v>272</v>
      </c>
      <c r="B205" t="s">
        <v>261</v>
      </c>
      <c r="C205" t="s">
        <v>262</v>
      </c>
      <c r="D205" s="22" t="s">
        <v>263</v>
      </c>
      <c r="F205" s="20" t="s">
        <v>11</v>
      </c>
      <c r="J205" s="20" t="s">
        <v>12</v>
      </c>
      <c r="K205">
        <v>2022</v>
      </c>
      <c r="L205">
        <v>2025</v>
      </c>
      <c r="M205"/>
      <c r="N205"/>
      <c r="O205"/>
      <c r="P205" s="10" t="s">
        <v>362</v>
      </c>
      <c r="Q205" s="10" t="s">
        <v>361</v>
      </c>
      <c r="X205" t="s">
        <v>305</v>
      </c>
      <c r="Y205" t="s">
        <v>305</v>
      </c>
      <c r="Z205" s="4" t="s">
        <v>305</v>
      </c>
      <c r="AA205" s="7" t="str" cm="1">
        <f t="array" ref="AA205">IF(AND(ISBLANK(S205:Z205)),"","x")</f>
        <v>x</v>
      </c>
      <c r="AT205" s="7" t="str" cm="1">
        <f t="array" ref="AT205">IF(AND(ISBLANK(AB205:AS205)),"","x")</f>
        <v/>
      </c>
      <c r="BE205" s="7" t="str" cm="1">
        <f t="array" ref="BE205">IF(AND(ISBLANK(AY205:BD205)),"","x")</f>
        <v/>
      </c>
      <c r="CC205" s="7" t="str" cm="1">
        <f t="array" ref="CC205">IF(AND(ISBLANK(BL205:CB205)),"","x")</f>
        <v/>
      </c>
    </row>
    <row r="206" spans="1:123">
      <c r="A206" t="s">
        <v>272</v>
      </c>
      <c r="B206" t="s">
        <v>261</v>
      </c>
      <c r="C206" t="s">
        <v>262</v>
      </c>
      <c r="D206" s="22" t="s">
        <v>981</v>
      </c>
      <c r="K206">
        <v>2018</v>
      </c>
      <c r="L206">
        <v>2025</v>
      </c>
      <c r="M206" s="10" t="s">
        <v>982</v>
      </c>
      <c r="N206"/>
      <c r="O206"/>
      <c r="P206" s="10"/>
      <c r="Q206" s="10"/>
      <c r="AZ206" t="s">
        <v>305</v>
      </c>
      <c r="BA206" t="s">
        <v>305</v>
      </c>
      <c r="BB206" t="s">
        <v>305</v>
      </c>
      <c r="BC206" t="s">
        <v>305</v>
      </c>
      <c r="BD206" s="4" t="s">
        <v>305</v>
      </c>
      <c r="BE206" s="7" t="str" cm="1">
        <f t="array" ref="BE206">IF(AND(ISBLANK(AY206:BD206)),"","x")</f>
        <v>x</v>
      </c>
    </row>
    <row r="207" spans="1:123">
      <c r="A207" t="s">
        <v>272</v>
      </c>
      <c r="B207" t="s">
        <v>261</v>
      </c>
      <c r="C207" t="s">
        <v>262</v>
      </c>
      <c r="D207" s="22" t="s">
        <v>745</v>
      </c>
      <c r="F207" s="20" t="s">
        <v>111</v>
      </c>
      <c r="J207" s="20" t="s">
        <v>44</v>
      </c>
      <c r="K207">
        <v>2021</v>
      </c>
      <c r="L207">
        <v>2025</v>
      </c>
      <c r="M207"/>
      <c r="N207"/>
      <c r="O207"/>
      <c r="P207" s="10" t="s">
        <v>744</v>
      </c>
      <c r="Q207" s="10" t="s">
        <v>743</v>
      </c>
      <c r="AA207" s="7" t="str" cm="1">
        <f t="array" ref="AA207">IF(AND(ISBLANK(S207:Z207)),"","x")</f>
        <v/>
      </c>
      <c r="AT207" s="7" t="str" cm="1">
        <f t="array" ref="AT207">IF(AND(ISBLANK(AB207:AS207)),"","x")</f>
        <v/>
      </c>
      <c r="BE207" s="7" t="str" cm="1">
        <f t="array" ref="BE207">IF(AND(ISBLANK(AY207:BD207)),"","x")</f>
        <v/>
      </c>
      <c r="CA207" t="s">
        <v>305</v>
      </c>
      <c r="CC207" s="7" t="str" cm="1">
        <f t="array" ref="CC207">IF(AND(ISBLANK(BL207:CB207)),"","x")</f>
        <v>x</v>
      </c>
      <c r="DO207"/>
      <c r="DP207"/>
      <c r="DQ207"/>
    </row>
    <row r="208" spans="1:123">
      <c r="A208" t="s">
        <v>272</v>
      </c>
      <c r="B208" t="s">
        <v>261</v>
      </c>
      <c r="C208" t="s">
        <v>264</v>
      </c>
      <c r="D208" s="22" t="s">
        <v>265</v>
      </c>
      <c r="F208" s="20" t="s">
        <v>11</v>
      </c>
      <c r="J208" s="20" t="s">
        <v>12</v>
      </c>
      <c r="K208">
        <v>2018</v>
      </c>
      <c r="L208">
        <v>2025</v>
      </c>
      <c r="M208" s="10" t="s">
        <v>417</v>
      </c>
      <c r="N208"/>
      <c r="O208"/>
      <c r="P208" s="10" t="s">
        <v>419</v>
      </c>
      <c r="Q208" s="10" t="s">
        <v>418</v>
      </c>
      <c r="S208" t="s">
        <v>305</v>
      </c>
      <c r="U208" t="s">
        <v>305</v>
      </c>
      <c r="X208" t="s">
        <v>305</v>
      </c>
      <c r="Y208" t="s">
        <v>305</v>
      </c>
      <c r="Z208" s="4" t="s">
        <v>305</v>
      </c>
      <c r="AA208" s="7" t="str" cm="1">
        <f t="array" ref="AA208">IF(AND(ISBLANK(S208:Z208)),"","x")</f>
        <v>x</v>
      </c>
      <c r="AT208" s="7" t="str" cm="1">
        <f t="array" ref="AT208">IF(AND(ISBLANK(AB208:AS208)),"","x")</f>
        <v/>
      </c>
      <c r="BE208" s="7" t="str" cm="1">
        <f t="array" ref="BE208">IF(AND(ISBLANK(AY208:BD208)),"","x")</f>
        <v/>
      </c>
      <c r="CC208" s="7" t="str" cm="1">
        <f t="array" ref="CC208">IF(AND(ISBLANK(BL208:CB208)),"","x")</f>
        <v/>
      </c>
    </row>
    <row r="209" spans="1:122">
      <c r="A209" t="s">
        <v>272</v>
      </c>
      <c r="B209" t="s">
        <v>478</v>
      </c>
      <c r="C209" t="s">
        <v>479</v>
      </c>
      <c r="D209" s="22" t="s">
        <v>578</v>
      </c>
      <c r="E209" s="22" t="s">
        <v>922</v>
      </c>
      <c r="K209">
        <v>2022</v>
      </c>
      <c r="L209">
        <v>2022</v>
      </c>
      <c r="M209" s="10"/>
      <c r="N209"/>
      <c r="O209"/>
      <c r="P209" s="10"/>
      <c r="Q209" s="10"/>
      <c r="W209" t="s">
        <v>305</v>
      </c>
      <c r="AA209" s="7" t="str" cm="1">
        <f t="array" ref="AA209">IF(AND(ISBLANK(S209:Z209)),"","x")</f>
        <v>x</v>
      </c>
      <c r="AT209" s="7" t="str" cm="1">
        <f t="array" ref="AT209">IF(AND(ISBLANK(AB209:AS209)),"","x")</f>
        <v/>
      </c>
      <c r="BE209" s="7" t="str" cm="1">
        <f t="array" ref="BE209">IF(AND(ISBLANK(AY209:BD209)),"","x")</f>
        <v/>
      </c>
      <c r="CC209" s="7" t="str" cm="1">
        <f t="array" ref="CC209">IF(AND(ISBLANK(BL209:CB209)),"","x")</f>
        <v/>
      </c>
    </row>
    <row r="210" spans="1:122">
      <c r="A210" t="s">
        <v>272</v>
      </c>
      <c r="B210" t="s">
        <v>1023</v>
      </c>
      <c r="C210" t="s">
        <v>1024</v>
      </c>
      <c r="D210" s="22" t="s">
        <v>1025</v>
      </c>
      <c r="E210" s="22" t="s">
        <v>1026</v>
      </c>
      <c r="K210">
        <v>2022</v>
      </c>
      <c r="L210">
        <v>2025</v>
      </c>
      <c r="M210" s="10" t="s">
        <v>1027</v>
      </c>
      <c r="N210"/>
      <c r="O210"/>
      <c r="P210" s="10"/>
      <c r="Q210" s="10" t="s">
        <v>1028</v>
      </c>
      <c r="BB210" t="s">
        <v>305</v>
      </c>
      <c r="BE210" s="7" t="str" cm="1">
        <f t="array" ref="BE210">IF(AND(ISBLANK(AY210:BD210)),"","x")</f>
        <v>x</v>
      </c>
    </row>
    <row r="211" spans="1:122">
      <c r="A211" t="s">
        <v>272</v>
      </c>
      <c r="B211" t="s">
        <v>266</v>
      </c>
      <c r="C211" t="s">
        <v>267</v>
      </c>
      <c r="D211" s="22" t="s">
        <v>268</v>
      </c>
      <c r="F211" s="20" t="s">
        <v>11</v>
      </c>
      <c r="J211" s="20" t="s">
        <v>12</v>
      </c>
      <c r="K211">
        <v>2019</v>
      </c>
      <c r="L211">
        <v>2025</v>
      </c>
      <c r="M211" s="10" t="s">
        <v>923</v>
      </c>
      <c r="N211"/>
      <c r="O211" s="10" t="s">
        <v>926</v>
      </c>
      <c r="P211" s="10" t="s">
        <v>925</v>
      </c>
      <c r="Q211" s="10" t="s">
        <v>924</v>
      </c>
      <c r="T211" t="s">
        <v>305</v>
      </c>
      <c r="W211" t="s">
        <v>305</v>
      </c>
      <c r="AA211" s="7" t="str" cm="1">
        <f t="array" ref="AA211">IF(AND(ISBLANK(S211:Z211)),"","x")</f>
        <v>x</v>
      </c>
      <c r="AT211" s="7" t="str" cm="1">
        <f t="array" ref="AT211">IF(AND(ISBLANK(AB211:AS211)),"","x")</f>
        <v/>
      </c>
      <c r="BE211" s="7" t="str" cm="1">
        <f t="array" ref="BE211">IF(AND(ISBLANK(AY211:BD211)),"","x")</f>
        <v/>
      </c>
      <c r="CC211" s="7" t="str" cm="1">
        <f t="array" ref="CC211">IF(AND(ISBLANK(BL211:CB211)),"","x")</f>
        <v/>
      </c>
      <c r="DO211"/>
      <c r="DP211"/>
      <c r="DQ211"/>
    </row>
    <row r="212" spans="1:122">
      <c r="A212" t="s">
        <v>272</v>
      </c>
      <c r="B212" t="s">
        <v>266</v>
      </c>
      <c r="C212" t="s">
        <v>267</v>
      </c>
      <c r="D212" s="22" t="s">
        <v>658</v>
      </c>
      <c r="K212">
        <v>2016</v>
      </c>
      <c r="L212">
        <v>2025</v>
      </c>
      <c r="M212" s="10" t="s">
        <v>659</v>
      </c>
      <c r="N212"/>
      <c r="O212"/>
      <c r="P212" s="10" t="s">
        <v>661</v>
      </c>
      <c r="Q212" s="10" t="s">
        <v>660</v>
      </c>
      <c r="AA212" s="7" t="str" cm="1">
        <f t="array" ref="AA212">IF(AND(ISBLANK(S212:Z212)),"","x")</f>
        <v/>
      </c>
      <c r="AT212" s="7" t="str" cm="1">
        <f t="array" ref="AT212">IF(AND(ISBLANK(AB212:AS212)),"","x")</f>
        <v/>
      </c>
      <c r="BE212" s="7" t="str" cm="1">
        <f t="array" ref="BE212">IF(AND(ISBLANK(AY212:BD212)),"","x")</f>
        <v/>
      </c>
      <c r="BU212" t="s">
        <v>305</v>
      </c>
      <c r="CC212" s="7" t="str" cm="1">
        <f t="array" ref="CC212">IF(AND(ISBLANK(BL212:CB212)),"","x")</f>
        <v>x</v>
      </c>
      <c r="DO212"/>
      <c r="DP212"/>
      <c r="DQ212"/>
    </row>
    <row r="213" spans="1:122">
      <c r="A213" t="s">
        <v>272</v>
      </c>
      <c r="B213" t="s">
        <v>266</v>
      </c>
      <c r="C213" t="s">
        <v>267</v>
      </c>
      <c r="D213" s="22" t="s">
        <v>1046</v>
      </c>
      <c r="M213" s="10" t="s">
        <v>1047</v>
      </c>
      <c r="N213"/>
      <c r="O213"/>
      <c r="P213" s="10"/>
      <c r="Q213" s="10"/>
      <c r="BC213" t="s">
        <v>305</v>
      </c>
      <c r="BE213" s="7" t="str" cm="1">
        <f t="array" ref="BE213">IF(AND(ISBLANK(AY213:BD213)),"","x")</f>
        <v>x</v>
      </c>
      <c r="DO213"/>
      <c r="DP213"/>
      <c r="DQ213"/>
    </row>
    <row r="214" spans="1:122">
      <c r="A214" t="s">
        <v>272</v>
      </c>
      <c r="B214" t="s">
        <v>813</v>
      </c>
      <c r="C214" t="s">
        <v>814</v>
      </c>
      <c r="D214" s="22" t="s">
        <v>578</v>
      </c>
      <c r="E214" t="s">
        <v>818</v>
      </c>
      <c r="K214">
        <v>2014</v>
      </c>
      <c r="L214">
        <v>2020</v>
      </c>
      <c r="M214" s="10" t="s">
        <v>816</v>
      </c>
      <c r="N214"/>
      <c r="O214" s="10" t="s">
        <v>815</v>
      </c>
      <c r="P214" s="10"/>
      <c r="Q214" s="18" t="s">
        <v>817</v>
      </c>
      <c r="R214" s="4" t="s">
        <v>781</v>
      </c>
      <c r="AK214" t="s">
        <v>769</v>
      </c>
      <c r="AL214" t="s">
        <v>305</v>
      </c>
      <c r="AM214" t="s">
        <v>305</v>
      </c>
      <c r="AN214" t="s">
        <v>932</v>
      </c>
      <c r="AT214" s="7" t="str" cm="1">
        <f t="array" ref="AT214">IF(AND(ISBLANK(AB214:AS214)),"","x")</f>
        <v>x</v>
      </c>
      <c r="BE214" s="7" t="str" cm="1">
        <f t="array" ref="BE214">IF(AND(ISBLANK(AY214:BD214)),"","x")</f>
        <v/>
      </c>
      <c r="DO214"/>
      <c r="DP214"/>
      <c r="DQ214"/>
    </row>
    <row r="215" spans="1:122">
      <c r="A215" t="s">
        <v>272</v>
      </c>
      <c r="B215" t="s">
        <v>269</v>
      </c>
      <c r="C215" t="s">
        <v>270</v>
      </c>
      <c r="D215" s="22" t="s">
        <v>271</v>
      </c>
      <c r="F215" s="20" t="s">
        <v>11</v>
      </c>
      <c r="J215" s="20" t="s">
        <v>12</v>
      </c>
      <c r="K215">
        <v>2020</v>
      </c>
      <c r="L215">
        <v>2022</v>
      </c>
      <c r="M215"/>
      <c r="N215"/>
      <c r="O215" s="10" t="s">
        <v>928</v>
      </c>
      <c r="P215" s="10" t="s">
        <v>927</v>
      </c>
      <c r="Q215"/>
      <c r="U215" t="s">
        <v>305</v>
      </c>
      <c r="V215" t="s">
        <v>305</v>
      </c>
      <c r="W215" t="s">
        <v>305</v>
      </c>
      <c r="AA215" s="7" t="str" cm="1">
        <f t="array" ref="AA215">IF(AND(ISBLANK(S215:Z215)),"","x")</f>
        <v>x</v>
      </c>
      <c r="AT215" s="7" t="str" cm="1">
        <f t="array" ref="AT215">IF(AND(ISBLANK(AB215:AS215)),"","x")</f>
        <v/>
      </c>
      <c r="BE215" s="7" t="str" cm="1">
        <f t="array" ref="BE215">IF(AND(ISBLANK(AY215:BD215)),"","x")</f>
        <v/>
      </c>
      <c r="CC215" s="7" t="str" cm="1">
        <f t="array" ref="CC215">IF(AND(ISBLANK(BL215:CB215)),"","x")</f>
        <v/>
      </c>
      <c r="DO215"/>
      <c r="DP215"/>
      <c r="DQ215"/>
    </row>
    <row r="216" spans="1:122">
      <c r="A216" t="s">
        <v>272</v>
      </c>
      <c r="B216" t="s">
        <v>269</v>
      </c>
      <c r="C216" t="s">
        <v>270</v>
      </c>
      <c r="D216" s="22" t="s">
        <v>647</v>
      </c>
      <c r="K216">
        <v>2011</v>
      </c>
      <c r="L216">
        <v>2025</v>
      </c>
      <c r="M216" s="10" t="s">
        <v>648</v>
      </c>
      <c r="N216"/>
      <c r="O216" s="10" t="s">
        <v>649</v>
      </c>
      <c r="P216" s="10" t="s">
        <v>650</v>
      </c>
      <c r="Q216" s="10" t="s">
        <v>651</v>
      </c>
      <c r="AA216" s="7" t="str" cm="1">
        <f t="array" ref="AA216">IF(AND(ISBLANK(S216:Z216)),"","x")</f>
        <v/>
      </c>
      <c r="AT216" s="7" t="str" cm="1">
        <f t="array" ref="AT216">IF(AND(ISBLANK(AB216:AS216)),"","x")</f>
        <v/>
      </c>
      <c r="BE216" s="7" t="str" cm="1">
        <f t="array" ref="BE216">IF(AND(ISBLANK(AY216:BD216)),"","x")</f>
        <v/>
      </c>
      <c r="CC216" s="7" t="str" cm="1">
        <f t="array" ref="CC216">IF(AND(ISBLANK(BL216:CB216)),"","x")</f>
        <v/>
      </c>
      <c r="DO216"/>
      <c r="DP216"/>
      <c r="DQ216"/>
      <c r="DR216" t="s">
        <v>305</v>
      </c>
    </row>
    <row r="217" spans="1:122">
      <c r="A217" t="s">
        <v>272</v>
      </c>
      <c r="B217" t="s">
        <v>583</v>
      </c>
      <c r="C217" t="s">
        <v>582</v>
      </c>
      <c r="D217" s="22" t="s">
        <v>578</v>
      </c>
      <c r="E217" t="s">
        <v>584</v>
      </c>
      <c r="K217">
        <v>2014</v>
      </c>
      <c r="L217">
        <v>2016</v>
      </c>
      <c r="M217"/>
      <c r="N217"/>
      <c r="O217"/>
      <c r="P217"/>
      <c r="Q217"/>
      <c r="AA217" s="7" t="str" cm="1">
        <f t="array" ref="AA217">IF(AND(ISBLANK(S217:Z217)),"","x")</f>
        <v/>
      </c>
      <c r="AT217" s="7" t="str" cm="1">
        <f t="array" ref="AT217">IF(AND(ISBLANK(AB217:AS217)),"","x")</f>
        <v/>
      </c>
      <c r="BE217" s="7" t="str" cm="1">
        <f t="array" ref="BE217">IF(AND(ISBLANK(AY217:BD217)),"","x")</f>
        <v/>
      </c>
      <c r="BT217" t="s">
        <v>305</v>
      </c>
      <c r="CC217" s="7" t="str" cm="1">
        <f t="array" ref="CC217">IF(AND(ISBLANK(BL217:CB217)),"","x")</f>
        <v>x</v>
      </c>
      <c r="DO217"/>
      <c r="DP217"/>
      <c r="DQ217"/>
    </row>
    <row r="218" spans="1:122">
      <c r="A218" t="s">
        <v>272</v>
      </c>
      <c r="B218" t="s">
        <v>594</v>
      </c>
      <c r="C218" t="s">
        <v>595</v>
      </c>
      <c r="D218" s="22" t="s">
        <v>628</v>
      </c>
      <c r="E218" t="s">
        <v>596</v>
      </c>
      <c r="K218">
        <v>2005</v>
      </c>
      <c r="L218">
        <v>2025</v>
      </c>
      <c r="M218" s="27" t="s">
        <v>627</v>
      </c>
      <c r="O218" s="27" t="s">
        <v>630</v>
      </c>
      <c r="Q218" s="27" t="s">
        <v>629</v>
      </c>
      <c r="AA218" s="7" t="str" cm="1">
        <f t="array" ref="AA218">IF(AND(ISBLANK(S218:Z218)),"","x")</f>
        <v/>
      </c>
      <c r="AT218" s="7" t="str" cm="1">
        <f t="array" ref="AT218">IF(AND(ISBLANK(AB218:AS218)),"","x")</f>
        <v/>
      </c>
      <c r="BE218" s="7" t="str" cm="1">
        <f t="array" ref="BE218">IF(AND(ISBLANK(AY218:BD218)),"","x")</f>
        <v/>
      </c>
      <c r="BS218" t="s">
        <v>305</v>
      </c>
      <c r="CC218" s="7" t="str" cm="1">
        <f t="array" ref="CC218">IF(AND(ISBLANK(BL218:CB218)),"","x")</f>
        <v>x</v>
      </c>
      <c r="DO218" t="s">
        <v>305</v>
      </c>
      <c r="DP218" t="s">
        <v>305</v>
      </c>
      <c r="DQ218"/>
    </row>
    <row r="219" spans="1:122">
      <c r="A219" t="s">
        <v>292</v>
      </c>
      <c r="B219" t="s">
        <v>274</v>
      </c>
      <c r="C219" t="s">
        <v>275</v>
      </c>
      <c r="D219" s="22" t="s">
        <v>276</v>
      </c>
      <c r="F219" s="20" t="s">
        <v>11</v>
      </c>
      <c r="J219" s="20" t="s">
        <v>12</v>
      </c>
      <c r="K219">
        <v>2021</v>
      </c>
      <c r="L219">
        <v>2025</v>
      </c>
      <c r="M219" s="10" t="s">
        <v>328</v>
      </c>
      <c r="N219"/>
      <c r="O219"/>
      <c r="P219" s="10" t="s">
        <v>330</v>
      </c>
      <c r="Q219" s="10" t="s">
        <v>329</v>
      </c>
      <c r="W219" t="s">
        <v>305</v>
      </c>
      <c r="X219" t="s">
        <v>305</v>
      </c>
      <c r="Y219" t="s">
        <v>305</v>
      </c>
      <c r="Z219" s="4" t="s">
        <v>305</v>
      </c>
      <c r="AA219" s="7" t="str" cm="1">
        <f t="array" ref="AA219">IF(AND(ISBLANK(S219:Z219)),"","x")</f>
        <v>x</v>
      </c>
      <c r="AT219" s="7" t="str" cm="1">
        <f t="array" ref="AT219">IF(AND(ISBLANK(AB219:AS219)),"","x")</f>
        <v/>
      </c>
      <c r="BE219" s="7" t="str" cm="1">
        <f t="array" ref="BE219">IF(AND(ISBLANK(AY219:BD219)),"","x")</f>
        <v/>
      </c>
      <c r="CC219" s="7" t="str" cm="1">
        <f t="array" ref="CC219">IF(AND(ISBLANK(BL219:CB219)),"","x")</f>
        <v/>
      </c>
    </row>
    <row r="220" spans="1:122">
      <c r="A220" t="s">
        <v>292</v>
      </c>
      <c r="B220" t="s">
        <v>274</v>
      </c>
      <c r="C220" t="s">
        <v>275</v>
      </c>
      <c r="D220" s="22" t="s">
        <v>277</v>
      </c>
      <c r="F220" s="20" t="s">
        <v>35</v>
      </c>
      <c r="J220" s="20" t="s">
        <v>36</v>
      </c>
      <c r="L220">
        <v>2025</v>
      </c>
      <c r="M220"/>
      <c r="N220"/>
      <c r="O220"/>
      <c r="P220"/>
      <c r="Q220"/>
      <c r="AA220" s="7" t="str" cm="1">
        <f t="array" ref="AA220">IF(AND(ISBLANK(S220:Z220)),"","x")</f>
        <v/>
      </c>
      <c r="AT220" s="7" t="str" cm="1">
        <f t="array" ref="AT220">IF(AND(ISBLANK(AB220:AS220)),"","x")</f>
        <v/>
      </c>
      <c r="BE220" s="7" t="str" cm="1">
        <f t="array" ref="BE220">IF(AND(ISBLANK(AY220:BD220)),"","x")</f>
        <v/>
      </c>
      <c r="CC220" s="7" t="str" cm="1">
        <f t="array" ref="CC220">IF(AND(ISBLANK(BL220:CB220)),"","x")</f>
        <v/>
      </c>
      <c r="DO220"/>
      <c r="DP220"/>
      <c r="DQ220"/>
    </row>
    <row r="221" spans="1:122">
      <c r="A221" t="s">
        <v>292</v>
      </c>
      <c r="B221" t="s">
        <v>274</v>
      </c>
      <c r="C221" t="s">
        <v>472</v>
      </c>
      <c r="D221" s="22" t="s">
        <v>578</v>
      </c>
      <c r="E221" s="22" t="s">
        <v>930</v>
      </c>
      <c r="K221">
        <v>2023</v>
      </c>
      <c r="L221">
        <v>2023</v>
      </c>
      <c r="M221"/>
      <c r="N221"/>
      <c r="O221"/>
      <c r="P221" s="10" t="s">
        <v>929</v>
      </c>
      <c r="Q221"/>
      <c r="X221" t="s">
        <v>305</v>
      </c>
      <c r="AA221" s="7" t="str" cm="1">
        <f t="array" ref="AA221">IF(AND(ISBLANK(S221:Z221)),"","x")</f>
        <v>x</v>
      </c>
      <c r="AT221" s="7" t="str" cm="1">
        <f t="array" ref="AT221">IF(AND(ISBLANK(AB221:AS221)),"","x")</f>
        <v/>
      </c>
      <c r="BE221" s="7" t="str" cm="1">
        <f t="array" ref="BE221">IF(AND(ISBLANK(AY221:BD221)),"","x")</f>
        <v/>
      </c>
      <c r="CC221" s="7" t="str" cm="1">
        <f t="array" ref="CC221">IF(AND(ISBLANK(BL221:CB221)),"","x")</f>
        <v/>
      </c>
      <c r="DO221"/>
      <c r="DP221"/>
      <c r="DQ221"/>
    </row>
    <row r="222" spans="1:122">
      <c r="A222" t="s">
        <v>293</v>
      </c>
      <c r="B222" t="s">
        <v>278</v>
      </c>
      <c r="C222" t="s">
        <v>754</v>
      </c>
      <c r="D222" s="22" t="s">
        <v>279</v>
      </c>
      <c r="F222" s="20" t="s">
        <v>11</v>
      </c>
      <c r="J222" s="20" t="s">
        <v>12</v>
      </c>
      <c r="K222">
        <v>2022</v>
      </c>
      <c r="L222">
        <v>2025</v>
      </c>
      <c r="M222" s="10" t="s">
        <v>405</v>
      </c>
      <c r="N222" s="10" t="s">
        <v>406</v>
      </c>
      <c r="O222"/>
      <c r="P222" s="10" t="s">
        <v>408</v>
      </c>
      <c r="Q222" s="10" t="s">
        <v>407</v>
      </c>
      <c r="S222" t="s">
        <v>305</v>
      </c>
      <c r="T222" t="s">
        <v>305</v>
      </c>
      <c r="U222" t="s">
        <v>305</v>
      </c>
      <c r="W222" t="s">
        <v>305</v>
      </c>
      <c r="Y222" t="s">
        <v>305</v>
      </c>
      <c r="Z222" s="4" t="s">
        <v>305</v>
      </c>
      <c r="AA222" s="7" t="str" cm="1">
        <f t="array" ref="AA222">IF(AND(ISBLANK(S222:Z222)),"","x")</f>
        <v>x</v>
      </c>
      <c r="AT222" s="7" t="str" cm="1">
        <f t="array" ref="AT222">IF(AND(ISBLANK(AB222:AS222)),"","x")</f>
        <v/>
      </c>
      <c r="BE222" s="7" t="str" cm="1">
        <f t="array" ref="BE222">IF(AND(ISBLANK(AY222:BD222)),"","x")</f>
        <v/>
      </c>
      <c r="CC222" s="7" t="str" cm="1">
        <f t="array" ref="CC222">IF(AND(ISBLANK(BL222:CB222)),"","x")</f>
        <v/>
      </c>
    </row>
    <row r="223" spans="1:122">
      <c r="A223" t="s">
        <v>293</v>
      </c>
      <c r="B223" t="s">
        <v>428</v>
      </c>
      <c r="C223" t="s">
        <v>429</v>
      </c>
      <c r="D223" s="22" t="s">
        <v>430</v>
      </c>
      <c r="K223">
        <v>2025</v>
      </c>
      <c r="L223">
        <v>2025</v>
      </c>
      <c r="M223" s="10" t="s">
        <v>931</v>
      </c>
      <c r="N223" s="10"/>
      <c r="O223"/>
      <c r="P223" s="10" t="s">
        <v>432</v>
      </c>
      <c r="Q223" s="10" t="s">
        <v>431</v>
      </c>
      <c r="Z223" s="4" t="s">
        <v>305</v>
      </c>
      <c r="AA223" s="7" t="str" cm="1">
        <f t="array" ref="AA223">IF(AND(ISBLANK(S223:Z223)),"","x")</f>
        <v>x</v>
      </c>
      <c r="AT223" s="7" t="str" cm="1">
        <f t="array" ref="AT223">IF(AND(ISBLANK(AB223:AS223)),"","x")</f>
        <v/>
      </c>
      <c r="BE223" s="7" t="str" cm="1">
        <f t="array" ref="BE223">IF(AND(ISBLANK(AY223:BD223)),"","x")</f>
        <v/>
      </c>
      <c r="CC223" s="7" t="str" cm="1">
        <f t="array" ref="CC223">IF(AND(ISBLANK(BL223:CB223)),"","x")</f>
        <v/>
      </c>
    </row>
    <row r="224" spans="1:122">
      <c r="A224" t="s">
        <v>294</v>
      </c>
      <c r="B224" t="s">
        <v>280</v>
      </c>
      <c r="C224" t="s">
        <v>281</v>
      </c>
      <c r="D224" s="22" t="s">
        <v>734</v>
      </c>
      <c r="E224" s="22" t="s">
        <v>877</v>
      </c>
      <c r="F224" s="20" t="s">
        <v>14</v>
      </c>
      <c r="J224" s="20" t="s">
        <v>15</v>
      </c>
      <c r="K224">
        <v>2019</v>
      </c>
      <c r="L224">
        <v>2025</v>
      </c>
      <c r="M224" s="10" t="s">
        <v>735</v>
      </c>
      <c r="N224"/>
      <c r="O224"/>
      <c r="P224"/>
      <c r="Q224"/>
      <c r="AA224" s="7" t="str" cm="1">
        <f t="array" ref="AA224">IF(AND(ISBLANK(S224:Z224)),"","x")</f>
        <v/>
      </c>
      <c r="AP224" t="s">
        <v>769</v>
      </c>
      <c r="AQ224" t="s">
        <v>305</v>
      </c>
      <c r="AR224" t="s">
        <v>305</v>
      </c>
      <c r="AS224" s="4" t="s">
        <v>305</v>
      </c>
      <c r="AT224" s="7" t="str" cm="1">
        <f t="array" ref="AT224">IF(AND(ISBLANK(AB224:AS224)),"","x")</f>
        <v>x</v>
      </c>
      <c r="BE224" s="7" t="str" cm="1">
        <f t="array" ref="BE224">IF(AND(ISBLANK(AY224:BD224)),"","x")</f>
        <v/>
      </c>
      <c r="BZ224" t="s">
        <v>305</v>
      </c>
      <c r="CB224" s="4" t="s">
        <v>305</v>
      </c>
      <c r="CC224" s="7" t="str" cm="1">
        <f t="array" ref="CC224">IF(AND(ISBLANK(BL224:CB224)),"","x")</f>
        <v>x</v>
      </c>
      <c r="DO224"/>
      <c r="DP224"/>
      <c r="DQ224"/>
    </row>
    <row r="225" spans="1:121">
      <c r="A225" t="s">
        <v>294</v>
      </c>
      <c r="B225" t="s">
        <v>280</v>
      </c>
      <c r="C225" t="s">
        <v>281</v>
      </c>
      <c r="D225" s="26" t="s">
        <v>488</v>
      </c>
      <c r="E225" s="17"/>
      <c r="K225">
        <v>2005</v>
      </c>
      <c r="L225">
        <v>2012</v>
      </c>
      <c r="M225" s="10" t="s">
        <v>489</v>
      </c>
      <c r="N225"/>
      <c r="O225"/>
      <c r="P225"/>
      <c r="Q225"/>
      <c r="AA225" s="7" t="str" cm="1">
        <f t="array" ref="AA225">IF(AND(ISBLANK(S225:Z225)),"","x")</f>
        <v/>
      </c>
      <c r="AB225" s="20" t="s">
        <v>769</v>
      </c>
      <c r="AC225" t="s">
        <v>305</v>
      </c>
      <c r="AD225" t="s">
        <v>305</v>
      </c>
      <c r="AE225" t="s">
        <v>305</v>
      </c>
      <c r="AF225" t="s">
        <v>932</v>
      </c>
      <c r="AT225" s="7" t="str" cm="1">
        <f t="array" ref="AT225">IF(AND(ISBLANK(AB225:AS225)),"","x")</f>
        <v>x</v>
      </c>
      <c r="BE225" s="7" t="str" cm="1">
        <f t="array" ref="BE225">IF(AND(ISBLANK(AY225:BD225)),"","x")</f>
        <v/>
      </c>
      <c r="CC225" s="7" t="str" cm="1">
        <f t="array" ref="CC225">IF(AND(ISBLANK(BL225:CB225)),"","x")</f>
        <v/>
      </c>
      <c r="DO225"/>
      <c r="DP225"/>
      <c r="DQ225"/>
    </row>
    <row r="226" spans="1:121">
      <c r="A226" t="s">
        <v>294</v>
      </c>
      <c r="B226" t="s">
        <v>280</v>
      </c>
      <c r="C226" t="s">
        <v>281</v>
      </c>
      <c r="D226" s="26" t="s">
        <v>979</v>
      </c>
      <c r="E226" s="17"/>
      <c r="K226">
        <v>2021</v>
      </c>
      <c r="L226">
        <v>2025</v>
      </c>
      <c r="M226" s="10" t="s">
        <v>980</v>
      </c>
      <c r="N226"/>
      <c r="O226"/>
      <c r="P226"/>
      <c r="Q226"/>
      <c r="AZ226" t="s">
        <v>305</v>
      </c>
      <c r="BE226" s="7" t="str" cm="1">
        <f t="array" ref="BE226">IF(AND(ISBLANK(AY226:BD226)),"","x")</f>
        <v>x</v>
      </c>
      <c r="DO226"/>
      <c r="DP226"/>
      <c r="DQ226"/>
    </row>
    <row r="227" spans="1:121">
      <c r="A227" t="s">
        <v>294</v>
      </c>
      <c r="B227" t="s">
        <v>282</v>
      </c>
      <c r="C227" t="s">
        <v>283</v>
      </c>
      <c r="D227" s="22" t="s">
        <v>284</v>
      </c>
      <c r="F227" s="20" t="s">
        <v>11</v>
      </c>
      <c r="J227" s="20" t="s">
        <v>12</v>
      </c>
      <c r="K227">
        <v>2021</v>
      </c>
      <c r="L227">
        <v>2025</v>
      </c>
      <c r="M227" s="10" t="s">
        <v>402</v>
      </c>
      <c r="N227"/>
      <c r="O227"/>
      <c r="P227" s="10" t="s">
        <v>404</v>
      </c>
      <c r="Q227" s="10" t="s">
        <v>403</v>
      </c>
      <c r="Z227" s="4" t="s">
        <v>305</v>
      </c>
      <c r="AA227" s="7" t="str" cm="1">
        <f t="array" ref="AA227">IF(AND(ISBLANK(S227:Z227)),"","x")</f>
        <v>x</v>
      </c>
      <c r="AT227" s="7" t="str" cm="1">
        <f t="array" ref="AT227">IF(AND(ISBLANK(AB227:AS227)),"","x")</f>
        <v/>
      </c>
      <c r="BE227" s="7" t="str" cm="1">
        <f t="array" ref="BE227">IF(AND(ISBLANK(AY227:BD227)),"","x")</f>
        <v/>
      </c>
      <c r="CC227" s="7" t="str" cm="1">
        <f t="array" ref="CC227">IF(AND(ISBLANK(BL227:CB227)),"","x")</f>
        <v/>
      </c>
    </row>
    <row r="228" spans="1:121">
      <c r="A228" t="s">
        <v>294</v>
      </c>
      <c r="B228" t="s">
        <v>282</v>
      </c>
      <c r="C228" t="s">
        <v>283</v>
      </c>
      <c r="D228" s="22" t="s">
        <v>285</v>
      </c>
      <c r="F228" s="20" t="s">
        <v>11</v>
      </c>
      <c r="J228" s="20" t="s">
        <v>12</v>
      </c>
      <c r="K228">
        <v>2024</v>
      </c>
      <c r="L228">
        <v>2024</v>
      </c>
      <c r="M228" s="10" t="s">
        <v>451</v>
      </c>
      <c r="N228"/>
      <c r="O228"/>
      <c r="P228" s="10" t="s">
        <v>453</v>
      </c>
      <c r="Q228" s="10" t="s">
        <v>452</v>
      </c>
      <c r="Y228" t="s">
        <v>305</v>
      </c>
      <c r="AA228" s="7" t="str" cm="1">
        <f t="array" ref="AA228">IF(AND(ISBLANK(S228:Z228)),"","x")</f>
        <v>x</v>
      </c>
      <c r="AT228" s="7" t="str" cm="1">
        <f t="array" ref="AT228">IF(AND(ISBLANK(AB228:AS228)),"","x")</f>
        <v/>
      </c>
      <c r="BE228" s="7" t="str" cm="1">
        <f t="array" ref="BE228">IF(AND(ISBLANK(AY228:BD228)),"","x")</f>
        <v/>
      </c>
      <c r="CC228" s="7" t="str" cm="1">
        <f t="array" ref="CC228">IF(AND(ISBLANK(BL228:CB228)),"","x")</f>
        <v/>
      </c>
      <c r="DO228"/>
      <c r="DP228"/>
      <c r="DQ228"/>
    </row>
    <row r="229" spans="1:121">
      <c r="A229" t="s">
        <v>292</v>
      </c>
      <c r="B229" t="s">
        <v>286</v>
      </c>
      <c r="C229" t="s">
        <v>287</v>
      </c>
      <c r="D229" s="22" t="s">
        <v>703</v>
      </c>
      <c r="E229" s="22" t="s">
        <v>529</v>
      </c>
      <c r="F229" s="20" t="s">
        <v>14</v>
      </c>
      <c r="J229" s="20" t="s">
        <v>58</v>
      </c>
      <c r="K229">
        <v>2018</v>
      </c>
      <c r="L229">
        <v>2025</v>
      </c>
      <c r="M229" s="10" t="s">
        <v>702</v>
      </c>
      <c r="N229"/>
      <c r="O229" s="10" t="s">
        <v>704</v>
      </c>
      <c r="P229" s="10" t="s">
        <v>705</v>
      </c>
      <c r="Q229" s="10" t="s">
        <v>706</v>
      </c>
      <c r="AA229" s="7" t="str" cm="1">
        <f t="array" ref="AA229">IF(AND(ISBLANK(S229:Z229)),"","x")</f>
        <v/>
      </c>
      <c r="AT229" s="7" t="str" cm="1">
        <f t="array" ref="AT229">IF(AND(ISBLANK(AB229:AS229)),"","x")</f>
        <v/>
      </c>
      <c r="BE229" s="7" t="str" cm="1">
        <f t="array" ref="BE229">IF(AND(ISBLANK(AY229:BD229)),"","x")</f>
        <v/>
      </c>
      <c r="BW229" t="s">
        <v>305</v>
      </c>
      <c r="CA229" t="s">
        <v>305</v>
      </c>
      <c r="CC229" s="7" t="str" cm="1">
        <f t="array" ref="CC229">IF(AND(ISBLANK(BL229:CB229)),"","x")</f>
        <v>x</v>
      </c>
      <c r="DO229"/>
      <c r="DP229"/>
      <c r="DQ229" t="s">
        <v>305</v>
      </c>
    </row>
    <row r="230" spans="1:121">
      <c r="A230" t="s">
        <v>292</v>
      </c>
      <c r="B230" t="s">
        <v>286</v>
      </c>
      <c r="C230" t="s">
        <v>287</v>
      </c>
      <c r="D230" s="22" t="s">
        <v>288</v>
      </c>
      <c r="F230" s="20" t="s">
        <v>32</v>
      </c>
      <c r="J230" s="20" t="s">
        <v>162</v>
      </c>
      <c r="K230">
        <v>2015</v>
      </c>
      <c r="L230">
        <v>2025</v>
      </c>
      <c r="M230" s="10" t="s">
        <v>707</v>
      </c>
      <c r="N230"/>
      <c r="O230"/>
      <c r="P230"/>
      <c r="Q230"/>
      <c r="AA230" s="7" t="str" cm="1">
        <f t="array" ref="AA230">IF(AND(ISBLANK(S230:Z230)),"","x")</f>
        <v/>
      </c>
      <c r="AT230" s="7" t="str" cm="1">
        <f t="array" ref="AT230">IF(AND(ISBLANK(AB230:AS230)),"","x")</f>
        <v/>
      </c>
      <c r="AZ230" t="s">
        <v>305</v>
      </c>
      <c r="BA230" t="s">
        <v>305</v>
      </c>
      <c r="BD230" s="4" t="s">
        <v>305</v>
      </c>
      <c r="BE230" s="7" t="str" cm="1">
        <f t="array" ref="BE230">IF(AND(ISBLANK(AY230:BD230)),"","x")</f>
        <v>x</v>
      </c>
      <c r="CC230" s="7" t="str" cm="1">
        <f t="array" ref="CC230">IF(AND(ISBLANK(BL230:CB230)),"","x")</f>
        <v/>
      </c>
      <c r="DO230"/>
      <c r="DP230"/>
      <c r="DQ230"/>
    </row>
    <row r="231" spans="1:121">
      <c r="A231" t="s">
        <v>292</v>
      </c>
      <c r="B231" t="s">
        <v>286</v>
      </c>
      <c r="C231" t="s">
        <v>287</v>
      </c>
      <c r="D231" s="22" t="s">
        <v>708</v>
      </c>
      <c r="E231" t="s">
        <v>709</v>
      </c>
      <c r="K231">
        <v>2020</v>
      </c>
      <c r="L231">
        <v>2025</v>
      </c>
      <c r="M231" s="10" t="s">
        <v>710</v>
      </c>
      <c r="N231" s="10" t="s">
        <v>714</v>
      </c>
      <c r="O231" s="10" t="s">
        <v>711</v>
      </c>
      <c r="P231" s="10" t="s">
        <v>712</v>
      </c>
      <c r="Q231" s="10" t="s">
        <v>713</v>
      </c>
      <c r="AA231" s="7" t="str" cm="1">
        <f t="array" ref="AA231">IF(AND(ISBLANK(S231:Z231)),"","x")</f>
        <v/>
      </c>
      <c r="AN231" t="s">
        <v>769</v>
      </c>
      <c r="AO231" t="s">
        <v>305</v>
      </c>
      <c r="AP231" t="s">
        <v>305</v>
      </c>
      <c r="AQ231" t="s">
        <v>305</v>
      </c>
      <c r="AR231" t="s">
        <v>305</v>
      </c>
      <c r="AS231" s="4" t="s">
        <v>305</v>
      </c>
      <c r="AT231" s="7" t="str" cm="1">
        <f t="array" ref="AT231">IF(AND(ISBLANK(AB231:AS231)),"","x")</f>
        <v>x</v>
      </c>
      <c r="BE231" s="7" t="str" cm="1">
        <f t="array" ref="BE231">IF(AND(ISBLANK(AY231:BD231)),"","x")</f>
        <v/>
      </c>
      <c r="CC231" s="7" t="str" cm="1">
        <f t="array" ref="CC231">IF(AND(ISBLANK(BL231:CB231)),"","x")</f>
        <v/>
      </c>
      <c r="DO231" t="s">
        <v>305</v>
      </c>
      <c r="DP231"/>
      <c r="DQ231"/>
    </row>
    <row r="232" spans="1:121">
      <c r="A232" t="s">
        <v>292</v>
      </c>
      <c r="B232" t="s">
        <v>289</v>
      </c>
      <c r="C232" t="s">
        <v>290</v>
      </c>
      <c r="D232" s="22" t="s">
        <v>291</v>
      </c>
      <c r="F232" s="20" t="s">
        <v>32</v>
      </c>
      <c r="J232" s="20" t="s">
        <v>162</v>
      </c>
      <c r="K232">
        <v>2017</v>
      </c>
      <c r="L232">
        <v>2025</v>
      </c>
      <c r="M232"/>
      <c r="N232"/>
      <c r="O232"/>
      <c r="P232"/>
      <c r="Q232"/>
      <c r="AA232" s="7" t="str" cm="1">
        <f t="array" ref="AA232">IF(AND(ISBLANK(S232:Z232)),"","x")</f>
        <v/>
      </c>
      <c r="AT232" s="7" t="str" cm="1">
        <f t="array" ref="AT232">IF(AND(ISBLANK(AB232:AS232)),"","x")</f>
        <v/>
      </c>
      <c r="BD232" s="4" t="s">
        <v>305</v>
      </c>
      <c r="BE232" s="7" t="str" cm="1">
        <f t="array" ref="BE232">IF(AND(ISBLANK(AY232:BD232)),"","x")</f>
        <v>x</v>
      </c>
      <c r="CC232" s="7" t="str" cm="1">
        <f t="array" ref="CC232">IF(AND(ISBLANK(BL232:CB232)),"","x")</f>
        <v/>
      </c>
      <c r="DO232"/>
      <c r="DP232"/>
      <c r="DQ232"/>
    </row>
    <row r="233" spans="1:121">
      <c r="A233" t="s">
        <v>1054</v>
      </c>
      <c r="B233" t="s">
        <v>1054</v>
      </c>
      <c r="C233" t="s">
        <v>1055</v>
      </c>
      <c r="D233" s="22" t="s">
        <v>1056</v>
      </c>
      <c r="K233">
        <v>2023</v>
      </c>
      <c r="L233">
        <v>2025</v>
      </c>
      <c r="M233" s="10" t="s">
        <v>1057</v>
      </c>
      <c r="N233"/>
      <c r="O233"/>
      <c r="P233"/>
      <c r="Q233"/>
      <c r="BD233" s="4" t="s">
        <v>305</v>
      </c>
      <c r="BE233" s="7" t="str" cm="1">
        <f t="array" ref="BE233">IF(AND(ISBLANK(AY233:BD233)),"","x")</f>
        <v>x</v>
      </c>
      <c r="CB233" s="7"/>
      <c r="DO233"/>
      <c r="DP233"/>
      <c r="DQ233"/>
    </row>
    <row r="234" spans="1:121">
      <c r="D234" s="8">
        <f>COUNTIFS(D1:D232,"-",CC1:CC232,"x")</f>
        <v>46</v>
      </c>
      <c r="AA234" s="7" t="str" cm="1">
        <f t="array" ref="AA234">IF(AND(ISBLANK(S234:Z234)),"","x")</f>
        <v/>
      </c>
      <c r="AT234" s="7" t="str" cm="1">
        <f t="array" ref="AT234">IF(AND(ISBLANK(AB234:AS234)),"","x")</f>
        <v/>
      </c>
      <c r="BE234" s="8">
        <f>COUNTIF(BE1:BE232,"x")</f>
        <v>52</v>
      </c>
      <c r="CB234" cm="1">
        <f t="array" ref="CB234">SUMPRODUCT(LEN(BS1:CB232)-LEN(SUBSTITUTE(BS1:CB232,"x","")))</f>
        <v>138</v>
      </c>
      <c r="CC234" s="8">
        <f>COUNTIF(CC1:CC232,"x")</f>
        <v>71</v>
      </c>
    </row>
    <row r="235" spans="1:121">
      <c r="AT235" s="7" t="str" cm="1">
        <f t="array" ref="AT235">IF(AND(ISBLANK(AB235:AS235)),"","x")</f>
        <v/>
      </c>
    </row>
    <row r="236" spans="1:121">
      <c r="AT236" s="7" t="str" cm="1">
        <f t="array" ref="AT236">IF(AND(ISBLANK(AB236:AS236)),"","x")</f>
        <v/>
      </c>
    </row>
    <row r="237" spans="1:121">
      <c r="AT237" s="7" t="str" cm="1">
        <f t="array" ref="AT237">IF(AND(ISBLANK(AB237:AS237)),"","x")</f>
        <v/>
      </c>
    </row>
    <row r="238" spans="1:121">
      <c r="AT238" s="7" t="str" cm="1">
        <f t="array" ref="AT238">IF(AND(ISBLANK(AB238:AS238)),"","x")</f>
        <v/>
      </c>
    </row>
    <row r="239" spans="1:121">
      <c r="L239">
        <f>46/71</f>
        <v>0.647887323943662</v>
      </c>
      <c r="AT239" s="7" t="str" cm="1">
        <f t="array" ref="AT239">IF(AND(ISBLANK(AB239:AS239)),"","x")</f>
        <v/>
      </c>
    </row>
  </sheetData>
  <autoFilter ref="A1:DS239" xr:uid="{8F9AC9A0-6333-4726-AE68-2B1D81328658}">
    <filterColumn colId="5" showButton="0"/>
    <filterColumn colId="6" showButton="0"/>
    <filterColumn colId="7" showButton="0"/>
    <filterColumn colId="12" showButton="0"/>
    <filterColumn colId="13" showButton="0"/>
    <filterColumn colId="14" showButton="0"/>
    <filterColumn colId="15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6" showButton="0"/>
    <filterColumn colId="47" showButton="0"/>
    <filterColumn colId="48" showButton="0"/>
    <filterColumn colId="50" showButton="0"/>
    <filterColumn colId="51" showButton="0"/>
    <filterColumn colId="52" showButton="0"/>
    <filterColumn colId="53" showButton="0"/>
    <filterColumn colId="54" showButton="0"/>
    <filterColumn colId="57" showButton="0"/>
    <filterColumn colId="58" showButton="0"/>
    <filterColumn colId="59" showButton="0"/>
    <filterColumn colId="60" showButton="0"/>
    <filterColumn colId="61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11">
    <mergeCell ref="F1:I1"/>
    <mergeCell ref="DB1:DN1"/>
    <mergeCell ref="M1:Q1"/>
    <mergeCell ref="CU1:DA1"/>
    <mergeCell ref="S1:Z1"/>
    <mergeCell ref="AB1:AS1"/>
    <mergeCell ref="AY1:BD1"/>
    <mergeCell ref="BF1:BK1"/>
    <mergeCell ref="BL1:CB1"/>
    <mergeCell ref="CD1:CT1"/>
    <mergeCell ref="AU1:AX1"/>
  </mergeCells>
  <hyperlinks>
    <hyperlink ref="M79" r:id="rId1" xr:uid="{316D29C3-269B-4A74-AA5F-4884EB973801}"/>
    <hyperlink ref="N79" r:id="rId2" xr:uid="{DC4CC915-FEF7-4F05-8A92-E90138BF1BA9}"/>
    <hyperlink ref="P79" r:id="rId3" xr:uid="{0716370B-10CB-459F-BECF-6FFBCAECCE03}"/>
    <hyperlink ref="Q79" r:id="rId4" xr:uid="{29AFCC34-D566-43A5-9044-11FC54EF7F6A}"/>
    <hyperlink ref="Q164" r:id="rId5" xr:uid="{AECBABF1-1DA7-4515-8BB0-B3020BD50EEF}"/>
    <hyperlink ref="M7" r:id="rId6" xr:uid="{384063F7-CB1C-43EB-88A4-E1345DC03FF0}"/>
    <hyperlink ref="Q7" r:id="rId7" xr:uid="{2DACBC2A-1CBC-4983-9355-5475266607F0}"/>
    <hyperlink ref="P7" r:id="rId8" xr:uid="{92229939-8218-4A64-84ED-A2D5D9991674}"/>
    <hyperlink ref="M24" r:id="rId9" xr:uid="{E1731649-DD86-4DA5-96B9-1345B432A7E2}"/>
    <hyperlink ref="Q24" r:id="rId10" xr:uid="{BC5F5D3D-B835-424F-9068-38699D823670}"/>
    <hyperlink ref="P24" r:id="rId11" xr:uid="{7037425C-950E-41EF-9F74-380D964BB5C7}"/>
    <hyperlink ref="M20" r:id="rId12" xr:uid="{E1953B0C-DF9B-4D34-AF0E-3DA4EC5CAE63}"/>
    <hyperlink ref="Q20" r:id="rId13" xr:uid="{A3CD2AD5-5654-4A9C-9A16-28B1922EFABF}"/>
    <hyperlink ref="P20" r:id="rId14" xr:uid="{55C9BEE6-2996-4335-9EE4-D6767E962337}"/>
    <hyperlink ref="M29" r:id="rId15" xr:uid="{708CDD4B-2415-4630-A59B-36475538DC94}"/>
    <hyperlink ref="N29" r:id="rId16" xr:uid="{56990DD8-5FEF-4119-B837-21002D505821}"/>
    <hyperlink ref="Q29" r:id="rId17" xr:uid="{3270FD21-6216-4895-9782-7AFF3962414D}"/>
    <hyperlink ref="P29" r:id="rId18" xr:uid="{5189EBC2-1484-438D-B156-706B98565DC1}"/>
    <hyperlink ref="M219" r:id="rId19" xr:uid="{A63091DE-A00A-405E-ACE5-C66BC715D444}"/>
    <hyperlink ref="Q219" r:id="rId20" xr:uid="{C09ABB3E-0D46-4D96-A333-6296F58CA154}"/>
    <hyperlink ref="P219" r:id="rId21" xr:uid="{7B1A52FE-8662-410D-8FB5-C9CCC055B357}"/>
    <hyperlink ref="M112" r:id="rId22" xr:uid="{6C749B89-9B61-49E2-AC49-F4A18631D2FF}"/>
    <hyperlink ref="N112" r:id="rId23" xr:uid="{55C3A87C-6F87-4AED-BB6B-CEEF9587A92A}"/>
    <hyperlink ref="Q112" r:id="rId24" xr:uid="{BC838B96-9621-4B97-9CA4-44FD0D65E598}"/>
    <hyperlink ref="P112" r:id="rId25" xr:uid="{4A5B39D3-397F-4E7E-A351-C8A7C98422BC}"/>
    <hyperlink ref="M100" r:id="rId26" xr:uid="{998D535E-10F7-4E99-A139-F9D566BB24FA}"/>
    <hyperlink ref="Q100" r:id="rId27" xr:uid="{CE706A31-55AF-4105-B026-984E5B01ED29}"/>
    <hyperlink ref="P100" r:id="rId28" xr:uid="{856E0FB2-6DAB-4A06-A1F5-A037412176C9}"/>
    <hyperlink ref="M140" r:id="rId29" xr:uid="{BCF77324-086F-4772-9B4D-D83331347BCE}"/>
    <hyperlink ref="Q140" r:id="rId30" xr:uid="{8627F03B-1AEB-49F3-BE4F-D0427E5C07E3}"/>
    <hyperlink ref="P140" r:id="rId31" xr:uid="{49305CAE-2A92-470F-813B-E2D0855FC20C}"/>
    <hyperlink ref="M156" r:id="rId32" xr:uid="{8403B580-0B0E-46B8-9010-5C86391BB938}"/>
    <hyperlink ref="Q156" r:id="rId33" xr:uid="{B2FF22FC-B36B-483E-B032-AE09C77BA799}"/>
    <hyperlink ref="P156" r:id="rId34" xr:uid="{0439C23F-4975-4B9F-AFD5-C88160AD70C6}"/>
    <hyperlink ref="M154" r:id="rId35" xr:uid="{11064662-B4EC-4502-B98E-493C00D4A4C1}"/>
    <hyperlink ref="Q154" r:id="rId36" xr:uid="{8F96F437-D585-4C62-A93C-B6F69792AD21}"/>
    <hyperlink ref="P154" r:id="rId37" xr:uid="{F09CE4C8-E252-4B8D-A4B5-5183F94D67E9}"/>
    <hyperlink ref="M145" r:id="rId38" xr:uid="{8E5BB8CE-81CA-4E26-9363-101BA90512CD}"/>
    <hyperlink ref="N145" r:id="rId39" xr:uid="{C3A0B717-9BE5-4271-AA7B-1495497F23C1}"/>
    <hyperlink ref="Q145" r:id="rId40" xr:uid="{C49036C0-3D6E-4CAD-A260-3CFE9E2E5582}"/>
    <hyperlink ref="P145" r:id="rId41" xr:uid="{95E5E486-7B1F-497B-894F-898B7A13F7D7}"/>
    <hyperlink ref="M78" r:id="rId42" xr:uid="{02AD145D-2FEB-4B9A-8940-2D460318DB2A}"/>
    <hyperlink ref="N78" r:id="rId43" xr:uid="{B79D6014-E81B-4D72-B37E-B755C2C4B296}"/>
    <hyperlink ref="Q78" r:id="rId44" xr:uid="{5E81B206-F643-4317-AD43-88125ADE03C6}"/>
    <hyperlink ref="P78" r:id="rId45" xr:uid="{00DB03B1-98F6-4CF2-8F0F-7987BD7D47F3}"/>
    <hyperlink ref="M63" r:id="rId46" xr:uid="{A311520D-700D-41EB-B069-5BB0ED1A542C}"/>
    <hyperlink ref="N63" r:id="rId47" xr:uid="{25407D3E-ABEA-49AC-BCAF-12EEED0FB316}"/>
    <hyperlink ref="Q63" r:id="rId48" xr:uid="{44827CE4-E608-4BA4-88A1-6526B38CA4DF}"/>
    <hyperlink ref="P63" r:id="rId49" xr:uid="{49458333-BE9F-40BE-ADD4-6721331ACBEF}"/>
    <hyperlink ref="Q123" r:id="rId50" xr:uid="{008A68CD-DFF1-453D-A762-83D6B91A35EE}"/>
    <hyperlink ref="P123" r:id="rId51" xr:uid="{C0E0ADCA-AA37-4D13-9BB6-65BA92CDD37C}"/>
    <hyperlink ref="Q205" r:id="rId52" xr:uid="{E71C9C45-2238-432C-A276-CDC7E35A5BC3}"/>
    <hyperlink ref="P205" r:id="rId53" xr:uid="{04494C69-2A1B-4353-81D2-38D09F27BA90}"/>
    <hyperlink ref="M189" r:id="rId54" xr:uid="{FE20F059-9FA8-4AB5-86E5-6A74C6900A0E}"/>
    <hyperlink ref="Q189" r:id="rId55" xr:uid="{05B7AD17-046B-46FD-8DDE-60802AEDEE92}"/>
    <hyperlink ref="P189" r:id="rId56" xr:uid="{1353E710-FF65-4855-808E-6958795EFCC8}"/>
    <hyperlink ref="M106" r:id="rId57" xr:uid="{760B4BBB-EA19-47BE-9637-0785A2D9D2CE}"/>
    <hyperlink ref="Q106" r:id="rId58" xr:uid="{221F3F6D-4B03-4297-9130-88BEF588383F}"/>
    <hyperlink ref="P106" r:id="rId59" xr:uid="{6D6710FE-EFC6-4794-9B48-ACF294A7EF2C}"/>
    <hyperlink ref="O146" r:id="rId60" xr:uid="{9FD5C998-0FB8-44C4-AA18-A9292A0A4F3D}"/>
    <hyperlink ref="P146" r:id="rId61" xr:uid="{35F20447-D517-4E09-92ED-A3E90FD0E5F3}"/>
    <hyperlink ref="M126" r:id="rId62" xr:uid="{35CCAB76-BA29-4128-8C3C-FEFE22B0BF55}"/>
    <hyperlink ref="Q126" r:id="rId63" xr:uid="{880D663B-B918-4753-A8FB-64E2F576AF92}"/>
    <hyperlink ref="P126" r:id="rId64" xr:uid="{39C7B711-F814-46EB-BAEA-C3FE2F6D0457}"/>
    <hyperlink ref="M192" r:id="rId65" xr:uid="{736446AE-0B62-4962-ADA2-BB6CAFAADE46}"/>
    <hyperlink ref="Q192" r:id="rId66" xr:uid="{D9293AC4-D3B7-45C9-BE79-1738C88C3F18}"/>
    <hyperlink ref="P192" r:id="rId67" xr:uid="{B56EC573-CF0A-46E1-9133-216C600B82F2}"/>
    <hyperlink ref="M11" r:id="rId68" xr:uid="{4DB50AFD-2EBB-4765-ADBB-7A10400C0A02}"/>
    <hyperlink ref="Q11" r:id="rId69" xr:uid="{0D1F8E71-76D0-4AC3-8B2B-9A318456DC1C}"/>
    <hyperlink ref="P11" r:id="rId70" xr:uid="{E2B5900C-FAB7-4B78-8928-B9E56AE3A635}"/>
    <hyperlink ref="P36" r:id="rId71" xr:uid="{8AAE7BEA-16BF-460B-8840-2E997DF5D5AA}"/>
    <hyperlink ref="M3" r:id="rId72" xr:uid="{9722F2C6-68F0-456B-B42F-0B6FBCE07863}"/>
    <hyperlink ref="Q3" r:id="rId73" xr:uid="{66A6EB1E-D252-4A91-8D8B-EE87E51CCA60}"/>
    <hyperlink ref="P3" r:id="rId74" xr:uid="{872CE5F7-C03F-4FE8-8D5A-600FF7B141CD}"/>
    <hyperlink ref="M190" r:id="rId75" xr:uid="{5544DBA6-4455-46AC-AD04-CBBE4DC1FBF3}"/>
    <hyperlink ref="P143" r:id="rId76" xr:uid="{8D54AE7D-BE77-4052-964C-3976D40D38A3}"/>
    <hyperlink ref="O155" r:id="rId77" xr:uid="{BE78B159-92F4-4A2A-8800-9F1BE5552750}"/>
    <hyperlink ref="M147" r:id="rId78" xr:uid="{A106CFD6-1533-4FF2-A22E-0A1DC448A673}"/>
    <hyperlink ref="N147" r:id="rId79" xr:uid="{B824C838-7FD0-45C4-9A1F-661525117601}"/>
    <hyperlink ref="Q147" r:id="rId80" xr:uid="{3BD186CE-B795-4F83-80E5-9F49A391438B}"/>
    <hyperlink ref="P147" r:id="rId81" xr:uid="{D5F08F14-5F7C-454C-86A2-756B73DAB628}"/>
    <hyperlink ref="P132" r:id="rId82" xr:uid="{F406CEF9-68B1-4D60-B347-708C6C52AF73}"/>
    <hyperlink ref="M160" r:id="rId83" xr:uid="{0C3851D5-7956-4FA2-82BE-F03EA7A54810}"/>
    <hyperlink ref="Q160" r:id="rId84" xr:uid="{DF0FCE77-7187-4C31-B916-A6353C011986}"/>
    <hyperlink ref="P160" r:id="rId85" xr:uid="{FAC2B4F8-3E11-4F94-BC41-64752F1D844F}"/>
    <hyperlink ref="P157" r:id="rId86" xr:uid="{5F9EFEB9-64EE-4708-A0A6-1497A5046656}"/>
    <hyperlink ref="M227" r:id="rId87" xr:uid="{6810EFDF-6076-4DBA-BE01-DAAD4D7399F0}"/>
    <hyperlink ref="Q227" r:id="rId88" xr:uid="{6A372AB8-DC3C-48C1-8D17-23220E096014}"/>
    <hyperlink ref="P227" r:id="rId89" xr:uid="{6DCD5583-AA19-4F9F-A7C7-F424D6173EF4}"/>
    <hyperlink ref="M222" r:id="rId90" xr:uid="{F6B90D54-B94A-4CEF-8B60-0B8F126B27BE}"/>
    <hyperlink ref="N222" r:id="rId91" xr:uid="{3A8D7D86-452A-4BF1-AF8F-1C30BA83DB5E}"/>
    <hyperlink ref="Q222" r:id="rId92" xr:uid="{480175BB-3B44-4A31-9D15-4371EFB07CFA}"/>
    <hyperlink ref="P222" r:id="rId93" xr:uid="{1FBADD34-A330-4D7F-99DE-BF279777D497}"/>
    <hyperlink ref="M71" r:id="rId94" xr:uid="{A76B57E4-B3AF-4D9E-BEB3-72A127069809}"/>
    <hyperlink ref="Q71" r:id="rId95" xr:uid="{0C3C0F5B-7AA5-4E2A-9C33-BCFFF742FB74}"/>
    <hyperlink ref="M115" r:id="rId96" xr:uid="{D1B911DF-723F-4F81-B8BC-EF9D53AAE353}"/>
    <hyperlink ref="Q115" r:id="rId97" xr:uid="{BE84EC95-86A0-47D8-A9E8-F621F07CAEF5}"/>
    <hyperlink ref="P115" r:id="rId98" xr:uid="{326104D1-BE32-427F-8533-A5A30091C505}"/>
    <hyperlink ref="Q195" r:id="rId99" xr:uid="{21C7AFF4-FD46-4ED5-AE2A-0F6224D0C627}"/>
    <hyperlink ref="P195" r:id="rId100" xr:uid="{57365757-C152-433F-9E4E-E22A9CC2293E}"/>
    <hyperlink ref="M208" r:id="rId101" xr:uid="{B784677F-F790-4C49-A45E-0DA9A505331F}"/>
    <hyperlink ref="Q208" r:id="rId102" xr:uid="{E5038A62-4E98-4065-A087-A5EC7427189C}"/>
    <hyperlink ref="P208" r:id="rId103" xr:uid="{1415F226-E8E0-426E-A8F8-E19FF8CBCBFB}"/>
    <hyperlink ref="M98" r:id="rId104" xr:uid="{6F61E0F3-B3F1-4679-99A8-C6AF53150B44}"/>
    <hyperlink ref="Q98" r:id="rId105" xr:uid="{A3F88191-5B54-4C3E-B1DF-8E48B5D8102F}"/>
    <hyperlink ref="P98" r:id="rId106" xr:uid="{839AB639-F62D-4C11-A2FF-6A3A1E896675}"/>
    <hyperlink ref="M164" r:id="rId107" xr:uid="{7DCE57CB-6B03-4427-8BD1-A48DB790942C}"/>
    <hyperlink ref="O149" r:id="rId108" xr:uid="{3DBA9DE7-07CC-4B1C-AAB9-99955E4D450E}"/>
    <hyperlink ref="Q149" r:id="rId109" xr:uid="{91DE3883-1184-4911-AAA0-FE0BCB12168E}"/>
    <hyperlink ref="Q223" r:id="rId110" xr:uid="{2C933249-2BE7-48F1-A675-2392A543E711}"/>
    <hyperlink ref="P223" r:id="rId111" xr:uid="{5F34584C-03DB-4B68-9046-B9C7E27DF01E}"/>
    <hyperlink ref="M188" r:id="rId112" xr:uid="{2BCEDB4F-DAA3-40DA-8B32-6368C5F2A953}"/>
    <hyperlink ref="P188" r:id="rId113" xr:uid="{81077265-F4DF-4EB0-8932-1219FCEF66E6}"/>
    <hyperlink ref="M136" r:id="rId114" xr:uid="{D0BF5A9B-7DCA-4627-AC6E-293206F22561}"/>
    <hyperlink ref="Q136" r:id="rId115" xr:uid="{02252B2D-65CF-4718-B3DF-01E24BA59AC1}"/>
    <hyperlink ref="O136" r:id="rId116" xr:uid="{F8C2075C-432E-4C8B-846B-5CF9F1FD0F12}"/>
    <hyperlink ref="M133" r:id="rId117" xr:uid="{45C4A726-C373-4AA1-9F5A-33B8828563A7}"/>
    <hyperlink ref="O133" r:id="rId118" xr:uid="{AD56D454-4464-419A-B0AB-25DFB4C2F8FE}"/>
    <hyperlink ref="Q133" r:id="rId119" xr:uid="{97D331AB-7708-49A6-948D-F6D76590B315}"/>
    <hyperlink ref="P133" r:id="rId120" xr:uid="{920E8438-12BA-4734-9E7C-0D051A20DBF4}"/>
    <hyperlink ref="M151" r:id="rId121" xr:uid="{AE9D26DD-AF7D-4D78-A294-E4D8D0350220}"/>
    <hyperlink ref="Q151" r:id="rId122" xr:uid="{D676A828-58C6-47D5-89BC-86CB464CD940}"/>
    <hyperlink ref="P151" r:id="rId123" xr:uid="{CCCCE627-1BD8-4A85-BE09-0DA335E8C27A}"/>
    <hyperlink ref="M228" r:id="rId124" xr:uid="{CFD2D0D3-7A72-4771-B5F8-0A4E48985AA6}"/>
    <hyperlink ref="Q228" r:id="rId125" xr:uid="{EAD14EAE-C3CC-42AE-A0F1-F6ABDFE7F124}"/>
    <hyperlink ref="P228" r:id="rId126" xr:uid="{AA698626-ECF9-4449-B506-6C84299E4F41}"/>
    <hyperlink ref="M191" r:id="rId127" xr:uid="{9B15C2C9-9322-417C-8B1C-EDDE7ED93C0C}"/>
    <hyperlink ref="N191" r:id="rId128" xr:uid="{0625230B-F761-45F6-9BFD-BA130C33DCB9}"/>
    <hyperlink ref="P191" r:id="rId129" xr:uid="{A0EC7909-A32C-4B8C-8ADC-0E91634F0141}"/>
    <hyperlink ref="Q43" r:id="rId130" xr:uid="{744E08C9-C186-4760-B7B8-410D498BAB71}"/>
    <hyperlink ref="M10" r:id="rId131" xr:uid="{A2EC7CDA-375A-4A1D-BE01-ECD5E3CFF61C}"/>
    <hyperlink ref="O138" r:id="rId132" xr:uid="{25D7FD94-7F2D-48F6-87C8-8D7EF6CC6782}"/>
    <hyperlink ref="P101" r:id="rId133" xr:uid="{0B91EAA2-541F-42F1-A6F4-DB511EFE0536}"/>
    <hyperlink ref="M137" r:id="rId134" xr:uid="{A59A683C-3872-436F-AC47-C6B4A328A4C4}"/>
    <hyperlink ref="Q137" r:id="rId135" xr:uid="{13A9B170-98A4-4D14-91CD-03366A00963D}"/>
    <hyperlink ref="P137" r:id="rId136" xr:uid="{10418D35-F36C-4622-91DF-7A9C534DE7A8}"/>
    <hyperlink ref="M12" r:id="rId137" xr:uid="{669AA207-4E53-44C0-BE9F-6B6FEA7F119D}"/>
    <hyperlink ref="Q12" r:id="rId138" xr:uid="{65B4B6DE-8F07-43DA-B0E3-1F7125CA18AC}"/>
    <hyperlink ref="P12" r:id="rId139" xr:uid="{68995ED8-FDA6-49B4-BEA0-004D6BB268EA}"/>
    <hyperlink ref="O152" r:id="rId140" xr:uid="{D81575A4-AEF7-466A-88E4-65EA51CC2BDD}"/>
    <hyperlink ref="M139" r:id="rId141" xr:uid="{80FC7322-568F-4A91-9EFD-D45F29AEAB16}"/>
    <hyperlink ref="O139" r:id="rId142" xr:uid="{AE4AB129-DC18-4768-A1CF-B240A119084E}"/>
    <hyperlink ref="Q44" r:id="rId143" xr:uid="{19221E83-F539-4CB3-9F5A-7CC1D3C9BEA8}"/>
    <hyperlink ref="P44" r:id="rId144" xr:uid="{B1C61223-5BA6-407B-8609-17F9C0716BB5}"/>
    <hyperlink ref="P159" r:id="rId145" xr:uid="{AD86DEFA-575D-4E32-B7E5-0E2CCFD7D392}"/>
    <hyperlink ref="Q159" r:id="rId146" xr:uid="{C9529652-9037-4F2F-AE64-5CCBF4D0B08A}"/>
    <hyperlink ref="M159" r:id="rId147" xr:uid="{63C1E57C-7BE4-4CDF-810C-1F3CD6F6D977}"/>
    <hyperlink ref="M113" r:id="rId148" xr:uid="{940AFD63-E6D2-4BEA-99F2-A2D1491EEEDA}"/>
    <hyperlink ref="M225" r:id="rId149" xr:uid="{A17B666A-15F0-4350-ABA7-C732E6E59FA7}"/>
    <hyperlink ref="M185" r:id="rId150" xr:uid="{936139EC-5B2A-413C-83E0-2096FBAD1BA4}"/>
    <hyperlink ref="M50" r:id="rId151" xr:uid="{6A720C86-A3F0-4DCF-A6B5-F537B4B68039}"/>
    <hyperlink ref="P53" r:id="rId152" xr:uid="{E5AA0D11-4DBA-4AC0-B0BD-BA51185F28D3}"/>
    <hyperlink ref="Q53" r:id="rId153" xr:uid="{A47F8AB6-1018-4D82-A914-35875FAA7863}"/>
    <hyperlink ref="M53" r:id="rId154" xr:uid="{D1192FDA-B212-43E1-8ACD-95BAB25010EA}"/>
    <hyperlink ref="M51" r:id="rId155" xr:uid="{4FE4B8BF-300D-4377-9393-467C8C984B8E}"/>
    <hyperlink ref="M108" r:id="rId156" xr:uid="{892A6A27-096C-496B-A145-40CBAB07F5F9}"/>
    <hyperlink ref="M82" r:id="rId157" xr:uid="{BFBACC32-B5C2-4EFA-9DC1-4D6878F4E717}"/>
    <hyperlink ref="M83" r:id="rId158" xr:uid="{F6C18F9F-5490-4104-AFA6-1732126E08FF}"/>
    <hyperlink ref="M165" r:id="rId159" xr:uid="{C1D907D8-FA4C-41BE-AAF3-D286FDBD887D}"/>
    <hyperlink ref="M81" r:id="rId160" xr:uid="{846AB15B-E876-4101-A9C5-CF135451B1DF}"/>
    <hyperlink ref="R67" r:id="rId161" xr:uid="{8E8CF443-45A6-474C-8AAB-F6D5A56F82A6}"/>
    <hyperlink ref="M203" r:id="rId162" xr:uid="{5C19F3B1-4FB4-4E0A-8F93-23F291A3E570}"/>
    <hyperlink ref="O203" r:id="rId163" xr:uid="{1354649A-A43D-4017-9C65-E7207E2BAB3E}"/>
    <hyperlink ref="N203" r:id="rId164" xr:uid="{4F0DA843-B56D-4AFC-B737-6367D2D833FB}"/>
    <hyperlink ref="P203" r:id="rId165" xr:uid="{9FAD5448-4630-4FDC-A6B5-8EB0CF6BDB23}"/>
    <hyperlink ref="P181" r:id="rId166" xr:uid="{085F44EC-2763-44D5-B20E-A9EEE440E08E}"/>
    <hyperlink ref="Q181" r:id="rId167" xr:uid="{6E8E4D79-D46E-4225-B0F0-0A65E32E87B5}"/>
    <hyperlink ref="M181" r:id="rId168" xr:uid="{4D04945F-C844-4393-B20E-2816DF21BFDE}"/>
    <hyperlink ref="M179" r:id="rId169" xr:uid="{4C066281-C90A-4537-B07A-C386348F77E0}"/>
    <hyperlink ref="M35" r:id="rId170" xr:uid="{F6E81A39-0870-4731-80E0-09ED747DA811}"/>
    <hyperlink ref="P35" r:id="rId171" xr:uid="{4EEC68F3-203C-4C66-AD06-91A218D6F45F}"/>
    <hyperlink ref="M31" r:id="rId172" xr:uid="{FED94D4E-F7A2-4DCB-9EAF-4E1BEF6073A0}"/>
    <hyperlink ref="N68" r:id="rId173" xr:uid="{E077EAA6-8B33-4939-A602-469645D1A249}"/>
    <hyperlink ref="O68" r:id="rId174" xr:uid="{1F81B25F-186C-4B96-A2D7-27EDD360EDD3}"/>
    <hyperlink ref="O39" r:id="rId175" xr:uid="{A542DF66-B63E-46DA-9986-F0129C2C4A2F}"/>
    <hyperlink ref="Q39" r:id="rId176" xr:uid="{5CABDB0A-AC35-4B48-B892-7CCE3EFD9547}"/>
    <hyperlink ref="P39" r:id="rId177" xr:uid="{866AED84-06E6-4795-952B-B8A8D1F16E63}"/>
    <hyperlink ref="M39" r:id="rId178" xr:uid="{72ED7E15-667F-40D4-B9E6-4F4F99FBDC3B}"/>
    <hyperlink ref="O15" r:id="rId179" xr:uid="{59642CF5-7FE3-4BB3-BEA2-EE37ABDA9FCF}"/>
    <hyperlink ref="M5" r:id="rId180" xr:uid="{BE62E1F3-DE1C-4959-AA9E-11CB5287D867}"/>
    <hyperlink ref="M37" r:id="rId181" xr:uid="{C0F1EF3B-FA1B-4219-9491-3F559B28BB60}"/>
    <hyperlink ref="O19" r:id="rId182" xr:uid="{6B136F1E-1BEA-466C-9115-92A787DB9F31}"/>
    <hyperlink ref="M30" r:id="rId183" xr:uid="{E93006CD-029A-4061-A362-8DCDBF41C2EF}"/>
    <hyperlink ref="P30" r:id="rId184" xr:uid="{DFA9A967-650C-41C5-AB21-8142757FC5DB}"/>
    <hyperlink ref="Q30" r:id="rId185" xr:uid="{46694042-67DA-43F0-A010-22CEE85D4151}"/>
    <hyperlink ref="O30" r:id="rId186" xr:uid="{7CB779D2-064A-4751-B454-F81137853BB4}"/>
    <hyperlink ref="N30" r:id="rId187" xr:uid="{7D69E826-B9AF-43AB-8E4E-1F61FC0BB3EE}"/>
    <hyperlink ref="O77" r:id="rId188" xr:uid="{430F2FF9-2CE2-4085-825D-F1815B3AC23C}"/>
    <hyperlink ref="O105" r:id="rId189" xr:uid="{E63F2338-EFFF-4326-A6D1-354F620429EA}"/>
    <hyperlink ref="O118" r:id="rId190" xr:uid="{223733FA-E401-43F9-9E3F-5E0E91F7C377}"/>
    <hyperlink ref="P163" r:id="rId191" xr:uid="{EBA408C1-A576-4D27-8A23-8BF9D8D9B61D}"/>
    <hyperlink ref="O163" r:id="rId192" xr:uid="{F13D0EE2-7B10-44E6-B0D1-FEBEA3AE5A28}"/>
    <hyperlink ref="M171" r:id="rId193" xr:uid="{55D51B2A-1AF5-42F1-9A8B-86BD867C173B}"/>
    <hyperlink ref="M170" r:id="rId194" xr:uid="{420E81F1-0E59-4557-8033-1C993BAD8C71}"/>
    <hyperlink ref="M176" r:id="rId195" xr:uid="{CF5BBF87-B6C6-456C-AE09-5DB81139FB28}"/>
    <hyperlink ref="P176" r:id="rId196" xr:uid="{D0056AA7-CCF7-450B-9F7B-431EB1374C08}"/>
    <hyperlink ref="Q176" r:id="rId197" xr:uid="{A71CF72A-7CB8-40C6-B198-CF1172757C95}"/>
    <hyperlink ref="O176" r:id="rId198" xr:uid="{352D3855-EDE3-491A-B3C3-6E77E87BBA09}"/>
    <hyperlink ref="M184" r:id="rId199" xr:uid="{99A311A0-24AD-4F37-A02B-95FD1AA7DB0B}"/>
    <hyperlink ref="O184" r:id="rId200" xr:uid="{9B2265C4-BF2D-4A56-8D1B-A46F2630FAA2}"/>
    <hyperlink ref="P184" r:id="rId201" xr:uid="{C38362EF-BFAF-40A5-87DB-8CBBE8DCD9CD}"/>
    <hyperlink ref="M218" r:id="rId202" xr:uid="{EC17A8B9-3C9D-4F46-A5A4-3D9E45580172}"/>
    <hyperlink ref="Q218" r:id="rId203" xr:uid="{B7D256A5-5B83-4BF4-B354-30AEBD085A1C}"/>
    <hyperlink ref="O218" r:id="rId204" xr:uid="{4743002C-708E-40F7-8ADD-FE9ADF235C1F}"/>
    <hyperlink ref="M26" r:id="rId205" xr:uid="{F70FA082-1038-4EED-B37B-805E36D76261}"/>
    <hyperlink ref="P26" r:id="rId206" xr:uid="{2E306D9E-1216-4C60-BB62-7C763B2D9A19}"/>
    <hyperlink ref="O26" r:id="rId207" xr:uid="{FA9B3D43-0A67-4F40-BC0F-592F65CFC791}"/>
    <hyperlink ref="N26" r:id="rId208" xr:uid="{5654F5FE-BC97-4047-9076-666BBB72313B}"/>
    <hyperlink ref="M65" r:id="rId209" xr:uid="{723F4778-52AC-48C8-8442-7FEC59781084}"/>
    <hyperlink ref="O90" r:id="rId210" xr:uid="{3170C65C-E990-46B4-80A1-C726DDE57824}"/>
    <hyperlink ref="Q120" r:id="rId211" xr:uid="{4ECA6101-86A3-410B-AE39-A454FC30CD50}"/>
    <hyperlink ref="M128" r:id="rId212" xr:uid="{67E561C1-513D-4165-BBEB-E5618C053E39}"/>
    <hyperlink ref="O194" r:id="rId213" xr:uid="{DEEE1704-74DE-45F2-B315-E79ACEC5E71A}"/>
    <hyperlink ref="M216" r:id="rId214" xr:uid="{ABC6C745-CF38-4E59-8E17-1EACA0E0B6AF}"/>
    <hyperlink ref="O216" r:id="rId215" xr:uid="{E91C13F4-1417-4578-8DB4-C8AD65B334EB}"/>
    <hyperlink ref="P216" r:id="rId216" xr:uid="{E3C28465-4E2C-4E4A-923B-44819521A2D1}"/>
    <hyperlink ref="Q216" r:id="rId217" xr:uid="{4C664A8A-C5E7-4041-813F-992F529A990E}"/>
    <hyperlink ref="Q42" r:id="rId218" xr:uid="{4CF3A884-E474-4691-918B-C094692A2A34}"/>
    <hyperlink ref="O102" r:id="rId219" xr:uid="{3D1C50E3-0F73-4484-A12D-AF07B689FF3C}"/>
    <hyperlink ref="O110" r:id="rId220" xr:uid="{468ECBFA-71EB-4DAD-B27E-FF3DB54CB820}"/>
    <hyperlink ref="M212" r:id="rId221" xr:uid="{FA83D3F9-E009-4CD6-A921-7517EF3E5844}"/>
    <hyperlink ref="Q212" r:id="rId222" xr:uid="{7E54E4ED-BD94-4769-8FA2-94FBB2EFCB14}"/>
    <hyperlink ref="P212" r:id="rId223" xr:uid="{4DAFAE62-7516-45B4-9C40-99E8F69EA64C}"/>
    <hyperlink ref="M40" r:id="rId224" xr:uid="{B8984F4C-972C-4319-AFCB-CA4314000A65}"/>
    <hyperlink ref="O174" r:id="rId225" xr:uid="{C3B1BE78-29AF-4BC2-9F5B-DFC25A89BD2F}"/>
    <hyperlink ref="M58" r:id="rId226" xr:uid="{EDA65BFC-4598-4787-B458-AA16C121EBE0}"/>
    <hyperlink ref="O58" r:id="rId227" xr:uid="{88155184-C6C1-46F5-AC00-032E26F214CD}"/>
    <hyperlink ref="O4" r:id="rId228" xr:uid="{33B01433-A56D-43E3-B4BD-BE6B8A3224A1}"/>
    <hyperlink ref="P4" r:id="rId229" xr:uid="{1126F4FE-5E22-416E-A70C-30F7D0AE172E}"/>
    <hyperlink ref="Q4" r:id="rId230" xr:uid="{3234F685-2457-4A0B-B8C6-E74C6D5C4477}"/>
    <hyperlink ref="O16" r:id="rId231" xr:uid="{B62437B4-0A0E-47C7-84B3-7118D7C05B28}"/>
    <hyperlink ref="M8" r:id="rId232" xr:uid="{9A3F08F0-65C2-4BF2-AC77-643E3F0F10EB}"/>
    <hyperlink ref="P8" r:id="rId233" xr:uid="{038E16F8-0453-4AF8-8942-41A7F6BC613F}"/>
    <hyperlink ref="M28" r:id="rId234" xr:uid="{FCDFBFDC-A483-4050-AC8E-291361ADEFC0}"/>
    <hyperlink ref="Q28" r:id="rId235" xr:uid="{248728F1-D5F1-44F3-AA56-394F101F765B}"/>
    <hyperlink ref="P28" r:id="rId236" xr:uid="{DC60397D-EBE6-4E90-95DE-69E414331B58}"/>
    <hyperlink ref="O28" r:id="rId237" xr:uid="{4FA267AC-8EA2-4CB6-8A79-CA79A9DF2EFE}"/>
    <hyperlink ref="O32" r:id="rId238" xr:uid="{F0F07300-48F8-473E-828D-509D9E6118EF}"/>
    <hyperlink ref="M22" r:id="rId239" xr:uid="{70E75199-92A0-4756-ADB4-C86A05F24C47}"/>
    <hyperlink ref="P22" r:id="rId240" xr:uid="{CB6D0062-1188-40DD-A3FB-74080F16A8C9}"/>
    <hyperlink ref="O22" r:id="rId241" xr:uid="{69C958DC-2F5A-42AA-AE4B-25069F2E34E7}"/>
    <hyperlink ref="M48" r:id="rId242" xr:uid="{3EC194DD-9B1A-4950-83CE-C6557B97C4BA}"/>
    <hyperlink ref="O48" r:id="rId243" xr:uid="{70D20A89-CB31-4B32-8326-613181175194}"/>
    <hyperlink ref="M49" r:id="rId244" xr:uid="{89635ECE-130D-4835-A177-E3EBBD633692}"/>
    <hyperlink ref="Q49" r:id="rId245" xr:uid="{7C5C344C-616D-48B2-ADF7-151DA926FCEF}"/>
    <hyperlink ref="M116" r:id="rId246" xr:uid="{5A68D4A9-7977-468B-BE62-94F6EBC509D0}"/>
    <hyperlink ref="O116" r:id="rId247" xr:uid="{80F68356-45AC-4ED2-9975-7F6223D4BCD8}"/>
    <hyperlink ref="P116" r:id="rId248" xr:uid="{28B079E1-2AD7-4CC3-869D-3EB71FCBEA87}"/>
    <hyperlink ref="Q116" r:id="rId249" xr:uid="{9A4051DD-231F-4630-AB5F-FB9FD8405ED3}"/>
    <hyperlink ref="M127" r:id="rId250" xr:uid="{FE811845-D72A-487D-B844-8F69C967A53E}"/>
    <hyperlink ref="O127" r:id="rId251" xr:uid="{9759239A-72C5-484B-823C-B81F651E5877}"/>
    <hyperlink ref="M134" r:id="rId252" location="about" xr:uid="{67CB24C5-DF0E-4228-9D33-B27CB866F33D}"/>
    <hyperlink ref="O134" r:id="rId253" xr:uid="{3910BB5D-F42E-47B4-A0D0-58CAACB88887}"/>
    <hyperlink ref="P134" r:id="rId254" xr:uid="{99F92A77-77A7-4E04-84A3-CCF26B87B514}"/>
    <hyperlink ref="Q134" r:id="rId255" xr:uid="{6607BFC9-CF36-4059-A649-E0DE1F2F63C7}"/>
    <hyperlink ref="O135" r:id="rId256" xr:uid="{BF3D5BE9-3F9E-413D-9140-D5304661A4C9}"/>
    <hyperlink ref="M229" r:id="rId257" xr:uid="{29772AAF-8A2A-4112-9D1D-388D4120C2E1}"/>
    <hyperlink ref="O229" r:id="rId258" xr:uid="{0F705EE5-4D58-4AA0-AA21-890E0AA21A3D}"/>
    <hyperlink ref="P229" r:id="rId259" xr:uid="{C63AB01E-32E0-46A6-B22C-4A11A57AE2E0}"/>
    <hyperlink ref="Q229" r:id="rId260" xr:uid="{EFB4F7A2-3078-4133-A605-6F494CB5CE6E}"/>
    <hyperlink ref="M230" r:id="rId261" xr:uid="{8C798714-6E76-4FEB-B754-CEE10FA81293}"/>
    <hyperlink ref="M231" r:id="rId262" xr:uid="{2457CCD2-B9F1-48D3-9B4E-6B1162455B75}"/>
    <hyperlink ref="O231" r:id="rId263" xr:uid="{85A654CF-8705-4374-BDAC-345384BD3119}"/>
    <hyperlink ref="P231" r:id="rId264" xr:uid="{C0D65948-32BF-4716-9306-B5B529BD54D2}"/>
    <hyperlink ref="Q231" r:id="rId265" xr:uid="{B79FC63E-2456-4F64-B590-6F9C29BA56A7}"/>
    <hyperlink ref="N231" r:id="rId266" xr:uid="{8E068692-7634-44B2-B77E-402EB88F7C7A}"/>
    <hyperlink ref="Q33" r:id="rId267" xr:uid="{89B8A820-5057-4988-9BDB-29BEF759D1CA}"/>
    <hyperlink ref="P33" r:id="rId268" xr:uid="{E6AEA78B-5DD9-4834-92A5-B7CC2B7A23EF}"/>
    <hyperlink ref="M33" r:id="rId269" xr:uid="{9D96C878-2B24-43DA-800F-CD045243FD11}"/>
    <hyperlink ref="M92" r:id="rId270" xr:uid="{E16699B9-73A5-461F-9A7E-04C2E2ADC0DA}"/>
    <hyperlink ref="M117" r:id="rId271" xr:uid="{3699C440-8E88-4305-A212-A17786F50887}"/>
    <hyperlink ref="N117" r:id="rId272" xr:uid="{61E348D1-FFA1-4D83-AE5F-E7FF185D0705}"/>
    <hyperlink ref="O117" r:id="rId273" xr:uid="{E63C3D24-8AD7-412E-ADAD-A03E60C91D96}"/>
    <hyperlink ref="P117" r:id="rId274" xr:uid="{70491CDC-BC79-45C7-B378-CBB04F51C1BB}"/>
    <hyperlink ref="Q117" r:id="rId275" xr:uid="{952B9F70-264D-43B1-A74C-2354D5785822}"/>
    <hyperlink ref="M119" r:id="rId276" xr:uid="{85BB7258-843B-4DE7-B11F-8DC967ED7201}"/>
    <hyperlink ref="M73" r:id="rId277" xr:uid="{CF69ADD4-0B0C-4A29-9A3B-C5848B48D000}"/>
    <hyperlink ref="P93" r:id="rId278" xr:uid="{FC4A87CD-DC8B-43E2-8C9F-3D8ED2CC119F}"/>
    <hyperlink ref="O154" r:id="rId279" xr:uid="{D7A93C6D-85C0-4610-A695-4E3CF53E3916}"/>
    <hyperlink ref="O179" r:id="rId280" xr:uid="{A14C26A5-B907-444E-903B-67A0D80C9BE7}"/>
    <hyperlink ref="P179" r:id="rId281" xr:uid="{0DA52F42-66EF-404B-B79F-272D40994E16}"/>
    <hyperlink ref="M224" r:id="rId282" xr:uid="{5732EA3E-0C49-4485-9B05-87A00E34CCBB}"/>
    <hyperlink ref="M34" r:id="rId283" xr:uid="{F2E9738E-2D3D-4DD4-92D3-801CCC85FA8A}"/>
    <hyperlink ref="Q34" r:id="rId284" xr:uid="{B4D4A7A3-3352-4128-A87E-0594EAA45B0F}"/>
    <hyperlink ref="P94" r:id="rId285" xr:uid="{58875A84-B7A2-4F39-938F-7581E70B89F2}"/>
    <hyperlink ref="P167" r:id="rId286" xr:uid="{B243E4D0-F917-45AE-8D20-18A47C57AD80}"/>
    <hyperlink ref="Q167" r:id="rId287" xr:uid="{EEFBEE1A-4646-4B02-ADD4-5C2AA7D1A8DC}"/>
    <hyperlink ref="M167" r:id="rId288" xr:uid="{2EE64250-3055-4050-B177-8CDFBB52CCFC}"/>
    <hyperlink ref="Q207" r:id="rId289" xr:uid="{48B0ED05-07C3-4F6B-AD0A-D95C9739F441}"/>
    <hyperlink ref="P207" r:id="rId290" xr:uid="{DB266A4A-1745-4289-9BC4-038721380DFB}"/>
    <hyperlink ref="P6" r:id="rId291" xr:uid="{7D3321B9-7786-47C3-B3A3-864368380AF5}"/>
    <hyperlink ref="O6" r:id="rId292" xr:uid="{1E1F9172-128F-499A-BC4F-903701D8B122}"/>
    <hyperlink ref="M6" r:id="rId293" xr:uid="{135779BD-365E-4C97-B085-B723D267090B}"/>
    <hyperlink ref="Q6" r:id="rId294" xr:uid="{AB4519EE-04A3-45FA-B000-FD7FE4610BDE}"/>
    <hyperlink ref="N182" r:id="rId295" xr:uid="{28842185-FD44-43E8-9745-20C6F9D018B3}"/>
    <hyperlink ref="M111" r:id="rId296" xr:uid="{DB3BBDBE-6F21-4FC5-B198-CA5F9C2E16DA}"/>
    <hyperlink ref="M121" r:id="rId297" xr:uid="{EA069927-7EFB-41A5-8233-8E48AB54978F}"/>
    <hyperlink ref="M52" r:id="rId298" xr:uid="{88E2E089-5148-4DA7-AE19-D3835E989202}"/>
    <hyperlink ref="N81" r:id="rId299" xr:uid="{C7FBD7FF-DB80-450B-9016-4897CF7F0DC6}"/>
    <hyperlink ref="O81" r:id="rId300" xr:uid="{04C912D6-BC65-41B7-82E7-6A8361D09A0B}"/>
    <hyperlink ref="M109" r:id="rId301" xr:uid="{11D3A6A7-A19B-4414-BBE7-9760D8657164}"/>
    <hyperlink ref="M86" r:id="rId302" xr:uid="{506CDCFA-8F48-42F3-BB31-AB9290E7CEAD}"/>
    <hyperlink ref="N86" r:id="rId303" xr:uid="{8C15D511-8D68-4AFE-B9C2-3275EEA95054}"/>
    <hyperlink ref="O86" r:id="rId304" xr:uid="{E6EF75A7-8ED9-48E2-BAC1-E4FB6576EB14}"/>
    <hyperlink ref="P86" r:id="rId305" xr:uid="{BDC89562-8756-4270-8177-654F1A05A010}"/>
    <hyperlink ref="Q86" r:id="rId306" xr:uid="{8B2F9E07-B35E-41A2-8464-D17FF682A369}"/>
    <hyperlink ref="O214" r:id="rId307" xr:uid="{C4AB2B98-F37E-4A85-A603-6639698F769D}"/>
    <hyperlink ref="M214" r:id="rId308" xr:uid="{E10AC593-9698-472D-A62F-5BC06663F402}"/>
    <hyperlink ref="Q214" r:id="rId309" xr:uid="{2563B4D5-F0DA-4FAE-9DAD-00B6FE0C63E1}"/>
    <hyperlink ref="M70" r:id="rId310" xr:uid="{39534DB7-76DC-4DF7-9B18-C6DACBFAEDC3}"/>
    <hyperlink ref="P71" r:id="rId311" display="https://www.instagram.com/ujirobotics?igsh=MXVrcHNuZzY0MnZlOQ==" xr:uid="{31D7CFD0-3F5A-4FA3-8553-7DBF027BD129}"/>
    <hyperlink ref="P70" r:id="rId312" xr:uid="{B32766CA-FD91-434D-A78C-0391B5B4B920}"/>
    <hyperlink ref="N70" r:id="rId313" xr:uid="{3573FDB5-8A35-4B29-9346-927E8F943614}"/>
    <hyperlink ref="Q70" r:id="rId314" xr:uid="{BBD4B3F5-8FF1-4314-98FF-430FBA82A11E}"/>
    <hyperlink ref="P169" r:id="rId315" xr:uid="{E67DD008-BDFF-4C55-8CB6-D0A2D2A69813}"/>
    <hyperlink ref="Q169" r:id="rId316" xr:uid="{898C5092-8469-4414-88FC-7C9F65335013}"/>
    <hyperlink ref="M169" r:id="rId317" xr:uid="{E5882B4E-CF3F-4E0F-937A-2090144627ED}"/>
    <hyperlink ref="Q81" r:id="rId318" xr:uid="{6F2F0DA2-EDF6-4923-96B2-C7D175C3EFCF}"/>
    <hyperlink ref="M198" r:id="rId319" xr:uid="{5AE7F179-1F9F-4C9E-9331-D97A2B43582B}"/>
    <hyperlink ref="P198" r:id="rId320" xr:uid="{E2478510-462E-4E22-B605-DA2D3E924A29}"/>
    <hyperlink ref="Q198" r:id="rId321" xr:uid="{A84AC6F9-F91C-4C3E-A9E6-245D405AC6C4}"/>
    <hyperlink ref="M16" r:id="rId322" xr:uid="{129A8007-DC88-4CA2-9643-C6EE76B2377B}"/>
    <hyperlink ref="P104" r:id="rId323" xr:uid="{F19B6207-1122-4D1B-854F-6994E970F380}"/>
    <hyperlink ref="Q104" r:id="rId324" xr:uid="{580C02E3-8071-496B-B316-20760B0AB03E}"/>
    <hyperlink ref="M103" r:id="rId325" xr:uid="{FD638740-DE87-49A2-B27E-44DF7C9F0392}"/>
    <hyperlink ref="R103" r:id="rId326" xr:uid="{429BD37D-DA14-435C-AEDE-E11FCAD3093D}"/>
    <hyperlink ref="P103" r:id="rId327" xr:uid="{2AAD64BD-66A6-44E8-85DA-80055B82C95B}"/>
    <hyperlink ref="Q103" r:id="rId328" xr:uid="{8445C832-7DF1-4B2B-9B2C-B8E2E3A58021}"/>
    <hyperlink ref="R75" r:id="rId329" xr:uid="{94139760-EEBF-4EC4-8A82-AA6BF5D33D05}"/>
    <hyperlink ref="M75" r:id="rId330" xr:uid="{770BDC64-1B6F-4C07-821F-A1CE2900CE09}"/>
    <hyperlink ref="M129" r:id="rId331" xr:uid="{550AC72C-E8B7-427D-B5E8-6CCF5B0A176E}"/>
    <hyperlink ref="P129" r:id="rId332" xr:uid="{0FE1A792-0CDD-4CF8-9942-41243808F973}"/>
    <hyperlink ref="Q129" r:id="rId333" xr:uid="{4D6091C6-55A7-4DCB-9B0B-A08925C3A8A4}"/>
    <hyperlink ref="M84" r:id="rId334" xr:uid="{78337AC1-46FE-41C3-8BB1-D72E73D8A25C}"/>
    <hyperlink ref="Q84" r:id="rId335" xr:uid="{5BE4CB59-5624-4B6F-A00B-20894F6AF223}"/>
    <hyperlink ref="P84" r:id="rId336" xr:uid="{CA30074C-C096-42DB-AEA5-63D94BF69888}"/>
    <hyperlink ref="O84" r:id="rId337" xr:uid="{F36A9479-3DBE-4D71-9601-129047AF86E6}"/>
    <hyperlink ref="M14" r:id="rId338" xr:uid="{7C55B8B8-1135-4A72-897F-E9B49A45F4F3}"/>
    <hyperlink ref="M36" r:id="rId339" xr:uid="{9200AD43-A89A-4D71-B2A2-DBB0C3EE0D71}"/>
    <hyperlink ref="Q36" r:id="rId340" xr:uid="{C57CE66A-8C7A-4363-B0D9-AA1A6D5F4EF1}"/>
    <hyperlink ref="M45" r:id="rId341" xr:uid="{F50A5141-6BBD-46D3-B1A8-EB031D5AD4B6}"/>
    <hyperlink ref="M66" r:id="rId342" xr:uid="{469D9271-4EA5-4A19-A3B4-AC70995D231E}"/>
    <hyperlink ref="P66" r:id="rId343" xr:uid="{B8531E62-7E0C-4102-B648-EDE5A66947E2}"/>
    <hyperlink ref="Q66" r:id="rId344" xr:uid="{AE9DE079-E0FB-4376-B1E2-8E213ED45DAD}"/>
    <hyperlink ref="P96" r:id="rId345" xr:uid="{92DB231A-1FE5-47A3-B9B9-1ECC9E8C6A1A}"/>
    <hyperlink ref="Q96" r:id="rId346" xr:uid="{21144A0B-BF1E-479B-8AF3-23D7BBC7DD5B}"/>
    <hyperlink ref="M101" r:id="rId347" xr:uid="{621A167F-2F8D-432F-B0AF-30816C863188}"/>
    <hyperlink ref="O101" r:id="rId348" xr:uid="{812FE6D8-53F5-40CC-B66E-5EC5D3BA0594}"/>
    <hyperlink ref="O132" r:id="rId349" xr:uid="{D9A86676-3489-4E1F-8832-05BBD2B2CEAE}"/>
    <hyperlink ref="M132" r:id="rId350" xr:uid="{CEF07CEC-3F1E-4B5C-BF42-5BE225079DBD}"/>
    <hyperlink ref="M143" r:id="rId351" location="rover" xr:uid="{2A6C184D-2557-4093-9A8A-902DD5F2D884}"/>
    <hyperlink ref="O143" r:id="rId352" xr:uid="{5A650BD3-DC7C-4DA5-9623-54BC46DE4075}"/>
    <hyperlink ref="O148" r:id="rId353" xr:uid="{A8A653AA-292E-4635-9841-9A3C11ECE63A}"/>
    <hyperlink ref="M148" r:id="rId354" xr:uid="{79C946EF-A3CC-416F-AFA4-A776227DB679}"/>
    <hyperlink ref="M153" r:id="rId355" xr:uid="{13BBAE27-C8C2-47D4-BE81-ECDFF29E0819}"/>
    <hyperlink ref="Q153" r:id="rId356" xr:uid="{D61B1630-DB6C-42F9-A6CD-74665B7D1EBE}"/>
    <hyperlink ref="M152" r:id="rId357" xr:uid="{C975BD9C-EE5C-4A4E-9E20-FDB434A161C8}"/>
    <hyperlink ref="O158" r:id="rId358" xr:uid="{81EA103C-31E7-4C7E-8B4E-0FF1DFAD90CA}"/>
    <hyperlink ref="O161" r:id="rId359" xr:uid="{8FCCFF57-76DF-4A67-B156-747705163870}"/>
    <hyperlink ref="M200" r:id="rId360" xr:uid="{B99B1456-5574-486E-BA6B-21FD5ABE3170}"/>
    <hyperlink ref="Q200" r:id="rId361" xr:uid="{BB91E72B-B8AE-4FEC-83CA-31FD4117B27C}"/>
    <hyperlink ref="P200" r:id="rId362" xr:uid="{214A2BDF-4021-4B18-B134-48A966580FAC}"/>
    <hyperlink ref="M211" r:id="rId363" xr:uid="{9531DFC9-9B91-4557-8FDB-2502D1CD24A3}"/>
    <hyperlink ref="Q211" r:id="rId364" xr:uid="{404F3E39-4713-4383-A7D3-3D18ACAC155F}"/>
    <hyperlink ref="P211" r:id="rId365" xr:uid="{D7CB2130-D005-41BA-AA51-F365D3F3CD9E}"/>
    <hyperlink ref="O211" r:id="rId366" xr:uid="{F252AC90-A898-4970-B32D-FD2E8C70D7D3}"/>
    <hyperlink ref="P215" r:id="rId367" xr:uid="{5A80DAE1-0FF9-41CE-80B7-D7034FE1454A}"/>
    <hyperlink ref="O215" r:id="rId368" xr:uid="{D7148D0E-650F-4586-86CF-546EC22C1578}"/>
    <hyperlink ref="P221" r:id="rId369" xr:uid="{71C35511-92B8-47E8-B714-2D1690EA2D14}"/>
    <hyperlink ref="M223" r:id="rId370" xr:uid="{7FF919BC-3FDB-44B9-95EB-07C9278B70E8}"/>
    <hyperlink ref="M166" r:id="rId371" xr:uid="{A38BCA7F-A27C-4EA1-B1FA-357AA075EAA5}"/>
    <hyperlink ref="O166" r:id="rId372" xr:uid="{8E1FF2ED-3F29-4D36-B548-56A00C9869E2}"/>
    <hyperlink ref="P166" r:id="rId373" xr:uid="{17B107A5-8AFD-4637-AA73-4C5180BD65E5}"/>
    <hyperlink ref="Q166" r:id="rId374" xr:uid="{ADD047E4-BDB3-4B6F-B201-059144D2BFD8}"/>
    <hyperlink ref="M46" r:id="rId375" xr:uid="{B3C99CDD-3390-4619-A7FD-B5A5B7070EA3}"/>
    <hyperlink ref="M131" r:id="rId376" xr:uid="{9B858273-7C00-491B-A313-C892E3DCB4A9}"/>
    <hyperlink ref="O131" r:id="rId377" xr:uid="{4E967F30-F45A-42BD-8662-2C3900462BFE}"/>
    <hyperlink ref="P131" r:id="rId378" xr:uid="{23B3D976-6080-4E06-80BE-C3AFE4D27E04}"/>
    <hyperlink ref="Q131" r:id="rId379" xr:uid="{5D8286FC-C964-4702-85F6-069F6A0FC304}"/>
    <hyperlink ref="O69" r:id="rId380" xr:uid="{F48F1150-54F4-410C-A8A0-B623D567FFEC}"/>
    <hyperlink ref="M69" r:id="rId381" xr:uid="{CC0FC8BD-61CA-4910-AD4E-D5E79248869C}"/>
    <hyperlink ref="P69" r:id="rId382" xr:uid="{4B921D25-2E9C-4A8D-B602-34C2DE9E5B0A}"/>
    <hyperlink ref="M64" r:id="rId383" xr:uid="{5BBEE0B1-A052-46B5-B36E-BDC25AF599A3}"/>
    <hyperlink ref="P64" r:id="rId384" xr:uid="{4F404F91-BDAE-4EA9-913E-FB93D555859E}"/>
    <hyperlink ref="O64" r:id="rId385" xr:uid="{F0221828-AB6D-416B-A667-0970CA5E4505}"/>
    <hyperlink ref="Q64" r:id="rId386" xr:uid="{8A45720E-1A06-4EC3-9834-C3655A4A6551}"/>
    <hyperlink ref="M87" r:id="rId387" xr:uid="{01429D67-1D5B-4A72-84A0-9EFF7761BD09}"/>
    <hyperlink ref="Q87" r:id="rId388" xr:uid="{3FBCEC85-DF04-41AE-A263-821EB957BBCE}"/>
    <hyperlink ref="P87" r:id="rId389" xr:uid="{872AE1AE-2883-41A5-8BDB-8CC9C93AFBDE}"/>
    <hyperlink ref="O95" r:id="rId390" xr:uid="{57A15F41-5D2A-48A1-B45A-9CF277A0F126}"/>
    <hyperlink ref="R95" r:id="rId391" xr:uid="{00634CF0-88B9-42C1-B021-CAD29A216DC1}"/>
    <hyperlink ref="O85" r:id="rId392" xr:uid="{06F0A4D7-57DD-4CE3-B1C1-CE7027E15714}"/>
    <hyperlink ref="M130" r:id="rId393" xr:uid="{04713E6E-466E-4B79-8F39-E83F7D5DCA81}"/>
    <hyperlink ref="O130" r:id="rId394" xr:uid="{E2D38345-EDCA-46D4-9B1E-18D4B36E58AC}"/>
    <hyperlink ref="P130" r:id="rId395" xr:uid="{EE7755C7-83D9-4105-BDD9-E2C3D3816C23}"/>
    <hyperlink ref="Q130" r:id="rId396" xr:uid="{F8738554-695D-4986-A24A-4C11C2E92068}"/>
    <hyperlink ref="M124" r:id="rId397" xr:uid="{2FC0C60C-1738-4BAB-8BEA-0C494B664779}"/>
    <hyperlink ref="M226" r:id="rId398" xr:uid="{9AE653F2-5CB3-4EE0-81D3-B4C6A329BFDF}"/>
    <hyperlink ref="M206" r:id="rId399" xr:uid="{0B66F0F2-B988-446F-A43E-12091C17008B}"/>
    <hyperlink ref="M202" r:id="rId400" xr:uid="{1B894AB1-D938-4673-BB4C-99132CCAB897}"/>
    <hyperlink ref="M99" r:id="rId401" xr:uid="{90AC13D5-6406-4675-ACA6-E000E899FAB3}"/>
    <hyperlink ref="M47" r:id="rId402" xr:uid="{0F57003D-5926-4870-83C7-1E075B54E66B}"/>
    <hyperlink ref="M186" r:id="rId403" xr:uid="{0066F2E0-DEDA-4B62-B511-4C63B640E9D5}"/>
    <hyperlink ref="M80" r:id="rId404" xr:uid="{6F7A4ED2-EBD1-4F08-9BF2-3779106349FD}"/>
    <hyperlink ref="P80" r:id="rId405" xr:uid="{10CA3602-A2D6-4F8C-9946-9194469DB7FB}"/>
    <hyperlink ref="Q80" r:id="rId406" xr:uid="{7B182A45-0866-43DE-9BC6-BE3E7BF30DC8}"/>
    <hyperlink ref="M38" r:id="rId407" xr:uid="{7932995F-2EDA-4F7E-8CE8-69DC8985A644}"/>
    <hyperlink ref="M76" r:id="rId408" xr:uid="{8FB9AF07-FA99-4A76-93FA-D04EC877FAEB}"/>
    <hyperlink ref="Q76" r:id="rId409" xr:uid="{4A001DDE-EB38-48BF-805D-2A2FE59F8793}"/>
    <hyperlink ref="M193" r:id="rId410" xr:uid="{DD5F21AA-DD2F-44CB-9B5E-6F03A6BED4F3}"/>
    <hyperlink ref="M150" r:id="rId411" xr:uid="{736DB9BC-9138-4E3E-B5F8-D72DCCAFA536}"/>
    <hyperlink ref="P150" r:id="rId412" xr:uid="{07F33A30-B8B5-4DC7-BEE1-1E724D3D9379}"/>
    <hyperlink ref="Q150" r:id="rId413" xr:uid="{A8B58045-490F-49CD-A8DB-86A498D35F4D}"/>
    <hyperlink ref="M114" r:id="rId414" xr:uid="{18EBEEA5-064F-4328-BDB4-BD18BD351121}"/>
    <hyperlink ref="M17" r:id="rId415" xr:uid="{B9BEBAE2-D93F-47AE-8FD4-939E1CF09F0D}"/>
    <hyperlink ref="M173" r:id="rId416" xr:uid="{CC1C7298-7940-4C30-8F69-9BADFA174AD7}"/>
    <hyperlink ref="M199" r:id="rId417" xr:uid="{B64D18B6-E4BC-4C61-9274-754B631C6053}"/>
    <hyperlink ref="M210" r:id="rId418" xr:uid="{E4245116-8770-46D1-A865-9C1A94704403}"/>
    <hyperlink ref="Q210" r:id="rId419" xr:uid="{97E0E092-95F6-48DD-A8EA-559975F651BE}"/>
    <hyperlink ref="M204" r:id="rId420" xr:uid="{0694BA5A-5D0D-468E-8ECB-C5A907056B39}"/>
    <hyperlink ref="M175" r:id="rId421" xr:uid="{633C728B-6A77-4F35-8A39-0685AFCD7FDE}"/>
    <hyperlink ref="M180" r:id="rId422" xr:uid="{2A2900A6-AD71-4604-B101-B45698007131}"/>
    <hyperlink ref="M177" r:id="rId423" xr:uid="{2B736E5F-4EEA-4862-94BC-1B5F68628FCB}"/>
    <hyperlink ref="M168" r:id="rId424" xr:uid="{D3892462-0573-4BE9-9389-11C6794105D3}"/>
    <hyperlink ref="M74" r:id="rId425" xr:uid="{28B7300A-37E7-446D-A6FC-9E28BC60AF86}"/>
    <hyperlink ref="M88" r:id="rId426" xr:uid="{881B60B9-D265-4D5D-9A9B-61550D8E1A0A}"/>
    <hyperlink ref="M213" r:id="rId427" xr:uid="{7DAA3009-7FC2-430D-964A-94632FAE97C0}"/>
    <hyperlink ref="M97" r:id="rId428" xr:uid="{BACA4403-4651-4AC6-9D4F-D6A038235A82}"/>
    <hyperlink ref="M89" r:id="rId429" xr:uid="{42ED34F6-FFC6-445C-B05F-E10CD8EF8736}"/>
    <hyperlink ref="M233" r:id="rId430" xr:uid="{7CDE3CA8-B155-4953-B9B6-9D1D646ACF7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85504C07CC7843BE2FB04E70C23A45" ma:contentTypeVersion="9" ma:contentTypeDescription="Crée un document." ma:contentTypeScope="" ma:versionID="b19373553aa78bdeffb7b83d9c28a8dc">
  <xsd:schema xmlns:xsd="http://www.w3.org/2001/XMLSchema" xmlns:xs="http://www.w3.org/2001/XMLSchema" xmlns:p="http://schemas.microsoft.com/office/2006/metadata/properties" xmlns:ns3="1ff0e60b-5513-4fe6-897f-4cc6ed024994" targetNamespace="http://schemas.microsoft.com/office/2006/metadata/properties" ma:root="true" ma:fieldsID="ba69d9d6c8be3ff6d53a629507e989dd" ns3:_="">
    <xsd:import namespace="1ff0e60b-5513-4fe6-897f-4cc6ed0249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0e60b-5513-4fe6-897f-4cc6ed0249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f0e60b-5513-4fe6-897f-4cc6ed024994" xsi:nil="true"/>
  </documentManagement>
</p:properties>
</file>

<file path=customXml/itemProps1.xml><?xml version="1.0" encoding="utf-8"?>
<ds:datastoreItem xmlns:ds="http://schemas.openxmlformats.org/officeDocument/2006/customXml" ds:itemID="{DDA455DF-C4FA-4F8E-9198-EA78FE5B5E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7D5A5-BEF9-45BC-9012-74F8DF358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0e60b-5513-4fe6-897f-4cc6ed0249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B0AF43-5131-40FC-A1A5-3DE82AC4E5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SSEA_student_teams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VON-ARNIM</dc:creator>
  <cp:lastModifiedBy>Maximilian VON-ARNIM</cp:lastModifiedBy>
  <dcterms:created xsi:type="dcterms:W3CDTF">2026-02-22T21:05:44Z</dcterms:created>
  <dcterms:modified xsi:type="dcterms:W3CDTF">2026-03-31T14:58:45Z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0x0101009E85504C07CC7843BE2FB04E70C23A45</vt:lpwstr>
  </property>
</Properties>
</file>